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vries274\Downloads\"/>
    </mc:Choice>
  </mc:AlternateContent>
  <xr:revisionPtr revIDLastSave="0" documentId="13_ncr:1_{36C5983F-D5DE-4B11-B072-6473625489B1}" xr6:coauthVersionLast="47" xr6:coauthVersionMax="47" xr10:uidLastSave="{00000000-0000-0000-0000-000000000000}"/>
  <bookViews>
    <workbookView xWindow="-120" yWindow="-120" windowWidth="57840" windowHeight="31920" xr2:uid="{00000000-000D-0000-FFFF-FFFF00000000}"/>
  </bookViews>
  <sheets>
    <sheet name="Invullijst" sheetId="2" r:id="rId1"/>
    <sheet name="Landen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9" i="3" l="1" a="1"/>
  <c r="D49" i="3" s="1"/>
  <c r="B49" i="3" s="1" a="1"/>
  <c r="B49" i="3" s="1"/>
  <c r="C49" i="3" s="1" a="1"/>
  <c r="C49" i="3" s="1"/>
  <c r="D48" i="3" a="1"/>
  <c r="D48" i="3" s="1"/>
  <c r="B48" i="3" s="1" a="1"/>
  <c r="B48" i="3" s="1"/>
  <c r="C48" i="3" s="1" a="1"/>
  <c r="C48" i="3" s="1"/>
  <c r="D47" i="3" a="1"/>
  <c r="D47" i="3" s="1"/>
  <c r="B47" i="3" s="1" a="1"/>
  <c r="B47" i="3" s="1"/>
  <c r="C47" i="3" s="1" a="1"/>
  <c r="C47" i="3" s="1"/>
  <c r="D46" i="3" a="1"/>
  <c r="D46" i="3" s="1"/>
  <c r="B46" i="3" s="1" a="1"/>
  <c r="B46" i="3" s="1"/>
  <c r="C46" i="3" s="1" a="1"/>
  <c r="C46" i="3" s="1"/>
  <c r="D45" i="3" a="1"/>
  <c r="D45" i="3" s="1"/>
  <c r="B45" i="3" s="1" a="1"/>
  <c r="B45" i="3" s="1"/>
  <c r="C45" i="3" s="1" a="1"/>
  <c r="C45" i="3" s="1"/>
  <c r="D44" i="3" a="1"/>
  <c r="D44" i="3" s="1"/>
  <c r="B44" i="3" s="1" a="1"/>
  <c r="B44" i="3" s="1"/>
  <c r="C44" i="3" s="1" a="1"/>
  <c r="C44" i="3" s="1"/>
  <c r="D43" i="3" a="1"/>
  <c r="D43" i="3" s="1"/>
  <c r="B43" i="3" s="1" a="1"/>
  <c r="B43" i="3" s="1"/>
  <c r="C43" i="3" s="1" a="1"/>
  <c r="C43" i="3" s="1"/>
  <c r="D42" i="3" a="1"/>
  <c r="D42" i="3" s="1"/>
  <c r="B42" i="3" s="1" a="1"/>
  <c r="B42" i="3" s="1"/>
  <c r="C42" i="3" s="1" a="1"/>
  <c r="C42" i="3" s="1"/>
  <c r="D41" i="3" a="1"/>
  <c r="D41" i="3" s="1"/>
  <c r="B41" i="3" s="1" a="1"/>
  <c r="B41" i="3" s="1"/>
  <c r="C41" i="3" s="1" a="1"/>
  <c r="C41" i="3" s="1"/>
  <c r="D40" i="3" a="1"/>
  <c r="D40" i="3" s="1"/>
  <c r="B40" i="3" s="1" a="1"/>
  <c r="B40" i="3" s="1"/>
  <c r="C40" i="3" s="1" a="1"/>
  <c r="C40" i="3" s="1"/>
  <c r="D39" i="3" a="1"/>
  <c r="D39" i="3" s="1"/>
  <c r="B39" i="3" s="1" a="1"/>
  <c r="B39" i="3" s="1"/>
  <c r="C39" i="3" s="1" a="1"/>
  <c r="C39" i="3" s="1"/>
  <c r="D38" i="3" a="1"/>
  <c r="D38" i="3" s="1"/>
  <c r="B38" i="3" s="1" a="1"/>
  <c r="B38" i="3" s="1"/>
  <c r="C38" i="3" s="1" a="1"/>
  <c r="C38" i="3" s="1"/>
  <c r="D37" i="3" a="1"/>
  <c r="D37" i="3" s="1"/>
  <c r="B37" i="3" s="1" a="1"/>
  <c r="B37" i="3" s="1"/>
  <c r="C37" i="3" s="1" a="1"/>
  <c r="C37" i="3" s="1"/>
  <c r="D36" i="3" a="1"/>
  <c r="D36" i="3" s="1"/>
  <c r="B36" i="3" s="1" a="1"/>
  <c r="B36" i="3" s="1"/>
  <c r="C36" i="3" s="1" a="1"/>
  <c r="C36" i="3" s="1"/>
  <c r="D35" i="3" a="1"/>
  <c r="D35" i="3" s="1"/>
  <c r="B35" i="3" s="1" a="1"/>
  <c r="B35" i="3" s="1"/>
  <c r="C35" i="3" s="1" a="1"/>
  <c r="C35" i="3" s="1"/>
  <c r="D34" i="3" a="1"/>
  <c r="D34" i="3" s="1"/>
  <c r="B34" i="3" s="1" a="1"/>
  <c r="B34" i="3" s="1"/>
  <c r="C34" i="3" s="1" a="1"/>
  <c r="C34" i="3" s="1"/>
  <c r="D33" i="3" a="1"/>
  <c r="D33" i="3" s="1"/>
  <c r="B33" i="3" s="1" a="1"/>
  <c r="B33" i="3" s="1"/>
  <c r="C33" i="3" s="1" a="1"/>
  <c r="C33" i="3" s="1"/>
  <c r="D32" i="3" a="1"/>
  <c r="D32" i="3" s="1"/>
  <c r="B32" i="3" s="1" a="1"/>
  <c r="B32" i="3" s="1"/>
  <c r="C32" i="3" s="1" a="1"/>
  <c r="C32" i="3" s="1"/>
  <c r="D31" i="3" a="1"/>
  <c r="D31" i="3" s="1"/>
  <c r="B31" i="3" s="1" a="1"/>
  <c r="B31" i="3" s="1"/>
  <c r="C31" i="3" s="1" a="1"/>
  <c r="C31" i="3" s="1"/>
  <c r="D30" i="3" a="1"/>
  <c r="D30" i="3" s="1"/>
  <c r="B30" i="3" s="1" a="1"/>
  <c r="B30" i="3" s="1"/>
  <c r="C30" i="3" s="1" a="1"/>
  <c r="C30" i="3" s="1"/>
  <c r="D29" i="3" a="1"/>
  <c r="D29" i="3" s="1"/>
  <c r="B29" i="3" s="1" a="1"/>
  <c r="B29" i="3" s="1"/>
  <c r="C29" i="3" s="1" a="1"/>
  <c r="C29" i="3" s="1"/>
  <c r="D28" i="3" a="1"/>
  <c r="D28" i="3" s="1"/>
  <c r="B28" i="3" s="1" a="1"/>
  <c r="B28" i="3" s="1"/>
  <c r="C28" i="3" s="1" a="1"/>
  <c r="C28" i="3" s="1"/>
  <c r="D27" i="3" a="1"/>
  <c r="D27" i="3" s="1"/>
  <c r="B27" i="3" s="1" a="1"/>
  <c r="B27" i="3" s="1"/>
  <c r="C27" i="3" s="1" a="1"/>
  <c r="C27" i="3" s="1"/>
  <c r="D26" i="3" a="1"/>
  <c r="D26" i="3" s="1"/>
  <c r="B26" i="3" s="1" a="1"/>
  <c r="B26" i="3" s="1"/>
  <c r="C26" i="3" s="1" a="1"/>
  <c r="C26" i="3" s="1"/>
  <c r="D25" i="3" a="1"/>
  <c r="D25" i="3" s="1"/>
  <c r="B25" i="3" s="1" a="1"/>
  <c r="B25" i="3" s="1"/>
  <c r="C25" i="3" s="1" a="1"/>
  <c r="C25" i="3" s="1"/>
  <c r="D24" i="3" a="1"/>
  <c r="D24" i="3" s="1"/>
  <c r="B24" i="3" s="1" a="1"/>
  <c r="B24" i="3" s="1"/>
  <c r="C24" i="3" s="1" a="1"/>
  <c r="C24" i="3" s="1"/>
  <c r="D23" i="3" a="1"/>
  <c r="D23" i="3" s="1"/>
  <c r="B23" i="3" s="1" a="1"/>
  <c r="B23" i="3" s="1"/>
  <c r="C23" i="3" s="1" a="1"/>
  <c r="C23" i="3" s="1"/>
  <c r="D22" i="3" a="1"/>
  <c r="D22" i="3" s="1"/>
  <c r="B22" i="3" s="1" a="1"/>
  <c r="B22" i="3" s="1"/>
  <c r="C22" i="3" s="1" a="1"/>
  <c r="C22" i="3" s="1"/>
  <c r="D21" i="3" a="1"/>
  <c r="D21" i="3" s="1"/>
  <c r="B21" i="3" s="1" a="1"/>
  <c r="B21" i="3" s="1"/>
  <c r="C21" i="3" s="1" a="1"/>
  <c r="C21" i="3" s="1"/>
  <c r="D20" i="3" a="1"/>
  <c r="D20" i="3" s="1"/>
  <c r="B20" i="3" s="1" a="1"/>
  <c r="B20" i="3" s="1"/>
  <c r="C20" i="3" s="1" a="1"/>
  <c r="C20" i="3" s="1"/>
  <c r="D19" i="3" a="1"/>
  <c r="D19" i="3" s="1"/>
  <c r="B19" i="3" s="1" a="1"/>
  <c r="B19" i="3" s="1"/>
  <c r="C19" i="3" s="1" a="1"/>
  <c r="C19" i="3" s="1"/>
  <c r="D18" i="3" a="1"/>
  <c r="D18" i="3" s="1"/>
  <c r="B18" i="3" s="1" a="1"/>
  <c r="B18" i="3" s="1"/>
  <c r="C18" i="3" s="1" a="1"/>
  <c r="C18" i="3" s="1"/>
  <c r="D17" i="3" a="1"/>
  <c r="D17" i="3" s="1"/>
  <c r="B17" i="3" s="1" a="1"/>
  <c r="B17" i="3" s="1"/>
  <c r="C17" i="3" s="1" a="1"/>
  <c r="C17" i="3" s="1"/>
  <c r="D16" i="3" a="1"/>
  <c r="D16" i="3" s="1"/>
  <c r="B16" i="3" s="1" a="1"/>
  <c r="B16" i="3" s="1"/>
  <c r="C16" i="3" s="1" a="1"/>
  <c r="C16" i="3" s="1"/>
  <c r="D15" i="3" a="1"/>
  <c r="D15" i="3" s="1"/>
  <c r="B15" i="3" s="1" a="1"/>
  <c r="B15" i="3" s="1"/>
  <c r="C15" i="3" s="1" a="1"/>
  <c r="C15" i="3" s="1"/>
  <c r="D14" i="3" a="1"/>
  <c r="D14" i="3" s="1"/>
  <c r="B14" i="3" s="1" a="1"/>
  <c r="B14" i="3" s="1"/>
  <c r="C14" i="3" s="1" a="1"/>
  <c r="C14" i="3" s="1"/>
  <c r="D13" i="3" a="1"/>
  <c r="D13" i="3" s="1"/>
  <c r="B13" i="3" s="1" a="1"/>
  <c r="B13" i="3" s="1"/>
  <c r="C13" i="3" s="1" a="1"/>
  <c r="C13" i="3" s="1"/>
  <c r="D12" i="3" a="1"/>
  <c r="D12" i="3" s="1"/>
  <c r="B12" i="3" s="1" a="1"/>
  <c r="B12" i="3" s="1"/>
  <c r="C12" i="3" s="1" a="1"/>
  <c r="C12" i="3" s="1"/>
  <c r="D11" i="3" a="1"/>
  <c r="D11" i="3" s="1"/>
  <c r="B11" i="3" s="1" a="1"/>
  <c r="B11" i="3" s="1"/>
  <c r="D10" i="3" a="1"/>
  <c r="D10" i="3" s="1"/>
  <c r="B10" i="3" s="1" a="1"/>
  <c r="B10" i="3" s="1"/>
  <c r="C10" i="3" s="1" a="1"/>
  <c r="C10" i="3" s="1"/>
  <c r="D9" i="3" a="1"/>
  <c r="D9" i="3" s="1"/>
  <c r="B9" i="3" s="1" a="1"/>
  <c r="B9" i="3" s="1"/>
  <c r="C9" i="3" s="1" a="1"/>
  <c r="C9" i="3" s="1"/>
  <c r="D8" i="3" a="1"/>
  <c r="D8" i="3" s="1"/>
  <c r="B8" i="3" s="1" a="1"/>
  <c r="B8" i="3" s="1"/>
  <c r="C8" i="3" s="1" a="1"/>
  <c r="C8" i="3" s="1"/>
  <c r="D7" i="3" a="1"/>
  <c r="D7" i="3" s="1"/>
  <c r="B7" i="3" s="1" a="1"/>
  <c r="B7" i="3" s="1"/>
  <c r="C7" i="3" s="1" a="1"/>
  <c r="C7" i="3" s="1"/>
  <c r="D6" i="3" a="1"/>
  <c r="D6" i="3" s="1"/>
  <c r="B6" i="3" s="1" a="1"/>
  <c r="B6" i="3" s="1"/>
  <c r="D5" i="3" a="1"/>
  <c r="D5" i="3" s="1"/>
  <c r="B5" i="3" s="1" a="1"/>
  <c r="B5" i="3" s="1"/>
  <c r="C5" i="3" s="1" a="1"/>
  <c r="C5" i="3" s="1"/>
  <c r="D4" i="3" a="1"/>
  <c r="D4" i="3" s="1"/>
  <c r="B4" i="3" s="1" a="1"/>
  <c r="B4" i="3" s="1"/>
  <c r="C4" i="3" s="1" a="1"/>
  <c r="C4" i="3" s="1"/>
  <c r="D3" i="3" a="1"/>
  <c r="D3" i="3" s="1"/>
  <c r="B3" i="3" s="1" a="1"/>
  <c r="B3" i="3" s="1"/>
  <c r="C3" i="3" s="1" a="1"/>
  <c r="C3" i="3" s="1"/>
  <c r="D2" i="3" a="1"/>
  <c r="D2" i="3" s="1"/>
  <c r="B2" i="3" s="1" a="1"/>
  <c r="B2" i="3" s="1"/>
  <c r="C2" i="3" s="1" a="1"/>
  <c r="C2" i="3" s="1"/>
  <c r="F21" i="3" l="1" a="1"/>
  <c r="F21" i="3" s="1"/>
  <c r="F3" i="3" a="1"/>
  <c r="F3" i="3" s="1"/>
  <c r="F40" i="3" a="1"/>
  <c r="F40" i="3" s="1"/>
  <c r="F42" i="3" a="1"/>
  <c r="F42" i="3" s="1"/>
  <c r="F8" i="3" a="1"/>
  <c r="F8" i="3" s="1"/>
  <c r="F44" i="3" a="1"/>
  <c r="F44" i="3" s="1"/>
  <c r="F36" i="3" a="1"/>
  <c r="F36" i="3" s="1"/>
  <c r="F32" i="3" a="1"/>
  <c r="F32" i="3" s="1"/>
  <c r="F28" i="3" a="1"/>
  <c r="F28" i="3" s="1"/>
  <c r="F24" i="3" a="1"/>
  <c r="F24" i="3" s="1"/>
  <c r="F20" i="3" a="1"/>
  <c r="F20" i="3" s="1"/>
  <c r="F16" i="3" a="1"/>
  <c r="F16" i="3" s="1"/>
  <c r="F12" i="3" a="1"/>
  <c r="F12" i="3" s="1"/>
  <c r="F4" i="3" a="1"/>
  <c r="F4" i="3" s="1"/>
  <c r="F6" i="3" a="1"/>
  <c r="F6" i="3" s="1"/>
  <c r="F48" i="3" a="1"/>
  <c r="F48" i="3" s="1"/>
  <c r="F34" i="3" a="1"/>
  <c r="F34" i="3" s="1"/>
  <c r="F30" i="3" a="1"/>
  <c r="F30" i="3" s="1"/>
  <c r="F26" i="3" a="1"/>
  <c r="F26" i="3" s="1"/>
  <c r="F22" i="3" a="1"/>
  <c r="F22" i="3" s="1"/>
  <c r="F18" i="3" a="1"/>
  <c r="F18" i="3" s="1"/>
  <c r="F14" i="3" a="1"/>
  <c r="F14" i="3" s="1"/>
  <c r="F10" i="3" a="1"/>
  <c r="F10" i="3" s="1"/>
  <c r="F2" i="3" a="1"/>
  <c r="F2" i="3" s="1"/>
  <c r="F43" i="3" a="1"/>
  <c r="F43" i="3" s="1"/>
  <c r="F17" i="3" a="1"/>
  <c r="F17" i="3" s="1"/>
  <c r="F41" i="3" a="1"/>
  <c r="F41" i="3" s="1"/>
  <c r="F31" i="3" a="1"/>
  <c r="F31" i="3" s="1"/>
  <c r="F19" i="3" a="1"/>
  <c r="F19" i="3" s="1"/>
  <c r="F13" i="3" a="1"/>
  <c r="F13" i="3" s="1"/>
  <c r="F7" i="3" a="1"/>
  <c r="F7" i="3" s="1"/>
  <c r="F39" i="3" a="1"/>
  <c r="F39" i="3" s="1"/>
  <c r="F47" i="3" a="1"/>
  <c r="F47" i="3" s="1"/>
  <c r="F35" i="3" a="1"/>
  <c r="F35" i="3" s="1"/>
  <c r="F29" i="3" a="1"/>
  <c r="F29" i="3" s="1"/>
  <c r="F25" i="3" a="1"/>
  <c r="F25" i="3" s="1"/>
  <c r="F15" i="3" a="1"/>
  <c r="F15" i="3" s="1"/>
  <c r="F11" i="3" a="1"/>
  <c r="F11" i="3" s="1"/>
  <c r="F5" i="3" a="1"/>
  <c r="F5" i="3" s="1"/>
  <c r="F45" i="3" a="1"/>
  <c r="F45" i="3" s="1"/>
  <c r="F33" i="3" a="1"/>
  <c r="F33" i="3" s="1"/>
  <c r="F23" i="3" a="1"/>
  <c r="F23" i="3" s="1"/>
  <c r="F9" i="3" a="1"/>
  <c r="F9" i="3" s="1"/>
  <c r="C6" i="3" a="1"/>
  <c r="C6" i="3" s="1"/>
  <c r="F49" i="3" s="1" a="1"/>
  <c r="F49" i="3" s="1"/>
  <c r="C11" i="3" a="1"/>
  <c r="C11" i="3" s="1"/>
  <c r="F37" i="3" s="1" a="1"/>
  <c r="F37" i="3" s="1"/>
  <c r="F46" i="3" l="1" a="1"/>
  <c r="F46" i="3" s="1"/>
  <c r="F27" i="3" a="1"/>
  <c r="F27" i="3" s="1"/>
  <c r="F38" i="3" a="1"/>
  <c r="F38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<sst xmlns="http://schemas.openxmlformats.org/spreadsheetml/2006/main" count="112" uniqueCount="65">
  <si>
    <t>INVULLIJST WK2026</t>
  </si>
  <si>
    <t>Let op: Je moet het dropdown-menu gebruiken waarmee landen geselecteerd kunnen worden!</t>
  </si>
  <si>
    <t>Deze lijst mag vervolgens verstuurd worden naar lagerweykevin@hotmail.com of tychoberndt@hotmail.com</t>
  </si>
  <si>
    <t>Plaats</t>
  </si>
  <si>
    <t>Land</t>
  </si>
  <si>
    <t>Waarde</t>
  </si>
  <si>
    <t>Bonusvragen</t>
  </si>
  <si>
    <t>Antwoord</t>
  </si>
  <si>
    <t>Algerije</t>
  </si>
  <si>
    <t>Aantal gele kaarten</t>
  </si>
  <si>
    <t>Zuid-Afrika</t>
  </si>
  <si>
    <t>Aantal doelpunten totaal</t>
  </si>
  <si>
    <t>Tunesië</t>
  </si>
  <si>
    <t>Topscorer WK 2026</t>
  </si>
  <si>
    <t>Weghorst</t>
  </si>
  <si>
    <t>Schotland</t>
  </si>
  <si>
    <t>Eerste doelpuntenmaker van Nederland</t>
  </si>
  <si>
    <t>Denzel</t>
  </si>
  <si>
    <t>Senegal</t>
  </si>
  <si>
    <t>Aantal doelpunten NL</t>
  </si>
  <si>
    <t>Spanje</t>
  </si>
  <si>
    <t>Tsjechië</t>
  </si>
  <si>
    <t>Turkije</t>
  </si>
  <si>
    <t>Qatar</t>
  </si>
  <si>
    <t>Paraguay</t>
  </si>
  <si>
    <t>Uruguay</t>
  </si>
  <si>
    <t>Panama</t>
  </si>
  <si>
    <t>Oezbekistan</t>
  </si>
  <si>
    <t>Nederland</t>
  </si>
  <si>
    <t>Nieuw-Zeeland</t>
  </si>
  <si>
    <t>Oostenrijk</t>
  </si>
  <si>
    <t>Noorwegen</t>
  </si>
  <si>
    <t>Marokko</t>
  </si>
  <si>
    <t>Kaapverdië</t>
  </si>
  <si>
    <t>Jordanië</t>
  </si>
  <si>
    <t>Portugal</t>
  </si>
  <si>
    <t>Verenigde Staten</t>
  </si>
  <si>
    <t>Zuid-Korea</t>
  </si>
  <si>
    <t>Irak</t>
  </si>
  <si>
    <t>Ivoorkust</t>
  </si>
  <si>
    <t>Iran</t>
  </si>
  <si>
    <t>Engeland</t>
  </si>
  <si>
    <t>Ecuador</t>
  </si>
  <si>
    <t>Ghana</t>
  </si>
  <si>
    <t>Egypte</t>
  </si>
  <si>
    <t>Duitsland</t>
  </si>
  <si>
    <t>Frankrijk</t>
  </si>
  <si>
    <t>Curaçao</t>
  </si>
  <si>
    <t>Brazilië</t>
  </si>
  <si>
    <t>Congo</t>
  </si>
  <si>
    <t>Canada</t>
  </si>
  <si>
    <t>Haïti</t>
  </si>
  <si>
    <t>Japan</t>
  </si>
  <si>
    <t>Kroatië</t>
  </si>
  <si>
    <t>Argentinië</t>
  </si>
  <si>
    <t>Colombia</t>
  </si>
  <si>
    <t>Mexico</t>
  </si>
  <si>
    <t>Australië</t>
  </si>
  <si>
    <t>België</t>
  </si>
  <si>
    <t>Saoedi-Arabië</t>
  </si>
  <si>
    <t>Bosnië en Herzegovina</t>
  </si>
  <si>
    <t>Zweden</t>
  </si>
  <si>
    <t>Zwitserland</t>
  </si>
  <si>
    <t>Bosnië-Herzegovina</t>
  </si>
  <si>
    <t>Curacao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</si>
</sst>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9"/>
      <color indexed="8"/>
      <name val="Verdana"/>
    </font>
    <font>
      <b/>
      <sz val="24"/>
      <color indexed="8"/>
      <name val="Verdana"/>
    </font>
    <font>
      <b/>
      <sz val="11"/>
      <color indexed="8"/>
      <name val="Verdana"/>
    </font>
    <font>
      <b/>
      <sz val="9"/>
      <color indexed="8"/>
      <name val="Verdana"/>
    </font>
  </fonts>
  <fills count="4">
    <fill>
      <patternFill patternType="none"/>
    </fill>
    <fill>
      <patternFill patternType="gray125"/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</fills>
  <borders count="22">
    <border>
      <left/>
      <right/>
      <top/>
      <bottom/>
      <diagonal/>
    </border>
    <border>
      <left style="thin">
        <color indexed="13"/>
      </left>
      <right/>
      <top style="thin">
        <color indexed="13"/>
      </top>
      <bottom/>
      <diagonal/>
    </border>
    <border>
      <left/>
      <right/>
      <top style="thin">
        <color indexed="13"/>
      </top>
      <bottom/>
      <diagonal/>
    </border>
    <border>
      <left/>
      <right style="thin">
        <color indexed="13"/>
      </right>
      <top style="thin">
        <color indexed="13"/>
      </top>
      <bottom/>
      <diagonal/>
    </border>
    <border>
      <left style="thin">
        <color indexed="13"/>
      </left>
      <right/>
      <top/>
      <bottom/>
      <diagonal/>
    </border>
    <border>
      <left/>
      <right/>
      <top/>
      <bottom/>
      <diagonal/>
    </border>
    <border>
      <left/>
      <right style="thin">
        <color indexed="13"/>
      </right>
      <top/>
      <bottom/>
      <diagonal/>
    </border>
    <border>
      <left/>
      <right/>
      <top/>
      <bottom style="medium">
        <color indexed="8"/>
      </bottom>
      <diagonal/>
    </border>
    <border>
      <left/>
      <right style="thin">
        <color indexed="13"/>
      </right>
      <top/>
      <bottom style="medium">
        <color indexed="8"/>
      </bottom>
      <diagonal/>
    </border>
    <border>
      <left style="thin">
        <color indexed="13"/>
      </left>
      <right style="medium">
        <color indexed="8"/>
      </right>
      <top/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/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/>
      <right/>
      <top style="medium">
        <color indexed="8"/>
      </top>
      <bottom/>
      <diagonal/>
    </border>
    <border>
      <left/>
      <right style="thin">
        <color indexed="13"/>
      </right>
      <top style="medium">
        <color indexed="8"/>
      </top>
      <bottom/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/>
      <top style="medium">
        <color indexed="8"/>
      </top>
      <bottom style="thin">
        <color indexed="13"/>
      </bottom>
      <diagonal/>
    </border>
    <border>
      <left/>
      <right/>
      <top/>
      <bottom style="thin">
        <color indexed="13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</borders>
  <cellStyleXfs count="1">
    <xf numFmtId="0" fontId="0" fillId="0" borderId="0" applyNumberFormat="0" applyFill="0" applyBorder="0" applyProtection="0"/>
  </cellStyleXfs>
  <cellXfs count="34">
    <xf numFmtId="0" fontId="0" fillId="0" borderId="0" xfId="0"/>
    <xf numFmtId="0" fontId="0" fillId="0" borderId="0" xfId="0" applyNumberFormat="1"/>
    <xf numFmtId="0" fontId="0" fillId="2" borderId="1" xfId="0" applyFill="1" applyBorder="1"/>
    <xf numFmtId="49" fontId="1" fillId="2" borderId="2" xfId="0" applyNumberFormat="1" applyFont="1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49" fontId="2" fillId="2" borderId="5" xfId="0" applyNumberFormat="1" applyFont="1" applyFill="1" applyBorder="1"/>
    <xf numFmtId="0" fontId="2" fillId="2" borderId="5" xfId="0" applyFont="1" applyFill="1" applyBorder="1"/>
    <xf numFmtId="0" fontId="0" fillId="2" borderId="7" xfId="0" applyFill="1" applyBorder="1"/>
    <xf numFmtId="0" fontId="0" fillId="2" borderId="8" xfId="0" applyFill="1" applyBorder="1"/>
    <xf numFmtId="0" fontId="0" fillId="2" borderId="9" xfId="0" applyFill="1" applyBorder="1"/>
    <xf numFmtId="49" fontId="3" fillId="3" borderId="10" xfId="0" applyNumberFormat="1" applyFont="1" applyFill="1" applyBorder="1" applyAlignment="1">
      <alignment horizontal="center" vertical="center"/>
    </xf>
    <xf numFmtId="0" fontId="0" fillId="2" borderId="11" xfId="0" applyFill="1" applyBorder="1" applyAlignment="1">
      <alignment vertical="center"/>
    </xf>
    <xf numFmtId="0" fontId="0" fillId="2" borderId="12" xfId="0" applyNumberFormat="1" applyFill="1" applyBorder="1" applyAlignment="1">
      <alignment horizontal="center"/>
    </xf>
    <xf numFmtId="49" fontId="0" fillId="2" borderId="12" xfId="0" applyNumberFormat="1" applyFill="1" applyBorder="1" applyAlignment="1">
      <alignment horizontal="center"/>
    </xf>
    <xf numFmtId="0" fontId="0" fillId="2" borderId="11" xfId="0" applyFill="1" applyBorder="1"/>
    <xf numFmtId="0" fontId="0" fillId="2" borderId="11" xfId="0" applyNumberFormat="1" applyFill="1" applyBorder="1" applyAlignment="1">
      <alignment horizontal="center"/>
    </xf>
    <xf numFmtId="49" fontId="0" fillId="2" borderId="11" xfId="0" applyNumberFormat="1" applyFill="1" applyBorder="1" applyAlignment="1">
      <alignment horizontal="center"/>
    </xf>
    <xf numFmtId="49" fontId="0" fillId="2" borderId="13" xfId="0" applyNumberFormat="1" applyFill="1" applyBorder="1" applyAlignment="1">
      <alignment horizontal="center"/>
    </xf>
    <xf numFmtId="0" fontId="0" fillId="2" borderId="13" xfId="0" applyNumberFormat="1" applyFill="1" applyBorder="1" applyAlignment="1">
      <alignment horizontal="center"/>
    </xf>
    <xf numFmtId="0" fontId="0" fillId="2" borderId="14" xfId="0" applyFill="1" applyBorder="1"/>
    <xf numFmtId="0" fontId="0" fillId="2" borderId="15" xfId="0" applyFill="1" applyBorder="1"/>
    <xf numFmtId="0" fontId="0" fillId="2" borderId="16" xfId="0" applyFill="1" applyBorder="1"/>
    <xf numFmtId="0" fontId="0" fillId="2" borderId="13" xfId="0" applyFill="1" applyBorder="1" applyAlignment="1">
      <alignment horizontal="center"/>
    </xf>
    <xf numFmtId="0" fontId="0" fillId="2" borderId="17" xfId="0" applyFill="1" applyBorder="1"/>
    <xf numFmtId="0" fontId="0" fillId="2" borderId="18" xfId="0" applyFill="1" applyBorder="1"/>
    <xf numFmtId="0" fontId="0" fillId="2" borderId="19" xfId="0" applyFill="1" applyBorder="1"/>
    <xf numFmtId="0" fontId="0" fillId="2" borderId="20" xfId="0" applyFill="1" applyBorder="1"/>
    <xf numFmtId="49" fontId="0" fillId="0" borderId="21" xfId="0" applyNumberFormat="1" applyBorder="1"/>
    <xf numFmtId="0" fontId="0" fillId="0" borderId="21" xfId="0" applyBorder="1"/>
    <xf numFmtId="0" fontId="0" fillId="0" borderId="21" xfId="0" applyNumberFormat="1" applyBorder="1"/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5E88B1"/>
      <rgbColor rgb="FFEEF3F4"/>
      <rgbColor rgb="FF0000FF"/>
      <rgbColor rgb="FFFFFFFF"/>
      <rgbColor rgb="FFAAAAAA"/>
      <rgbColor rgb="FF9CC2E5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Kantoorthema">
  <a:themeElements>
    <a:clrScheme name="Kantoorthema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Kantoorthema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Kantoorthem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7"/>
  <sheetViews>
    <sheetView showGridLines="0" tabSelected="1" workbookViewId="0">
      <selection activeCell="M39" sqref="M39"/>
    </sheetView>
  </sheetViews>
  <sheetFormatPr defaultColWidth="9" defaultRowHeight="11.45" customHeight="1" x14ac:dyDescent="0.15"/>
  <cols>
    <col min="1" max="1" width="3.875" style="1" customWidth="1"/>
    <col min="2" max="2" width="9" style="1" customWidth="1"/>
    <col min="3" max="3" width="19.375" style="1" customWidth="1"/>
    <col min="4" max="4" width="10" style="1" customWidth="1"/>
    <col min="5" max="5" width="9" style="1" customWidth="1"/>
    <col min="6" max="6" width="34" style="1" customWidth="1"/>
    <col min="7" max="7" width="17.375" style="1" customWidth="1"/>
    <col min="8" max="8" width="9" style="1" customWidth="1"/>
    <col min="9" max="16384" width="9" style="1"/>
  </cols>
  <sheetData>
    <row r="1" spans="1:7" ht="48.75" customHeight="1" x14ac:dyDescent="0.35">
      <c r="A1" s="2"/>
      <c r="B1" s="3" t="s">
        <v>0</v>
      </c>
      <c r="C1" s="4"/>
      <c r="D1" s="4"/>
      <c r="E1" s="4"/>
      <c r="F1" s="4"/>
      <c r="G1" s="5"/>
    </row>
    <row r="2" spans="1:7" ht="15.75" customHeight="1" x14ac:dyDescent="0.15">
      <c r="A2" s="6"/>
      <c r="B2" s="7"/>
      <c r="C2" s="7"/>
      <c r="D2" s="7"/>
      <c r="E2" s="7"/>
      <c r="F2" s="7"/>
      <c r="G2" s="8"/>
    </row>
    <row r="3" spans="1:7" ht="15.75" customHeight="1" x14ac:dyDescent="0.2">
      <c r="A3" s="6"/>
      <c r="B3" s="9" t="s">
        <v>1</v>
      </c>
      <c r="C3" s="7"/>
      <c r="D3" s="7"/>
      <c r="E3" s="7"/>
      <c r="F3" s="7"/>
      <c r="G3" s="8"/>
    </row>
    <row r="4" spans="1:7" ht="18.75" customHeight="1" x14ac:dyDescent="0.2">
      <c r="A4" s="6"/>
      <c r="B4" s="9" t="s">
        <v>2</v>
      </c>
      <c r="C4" s="7"/>
      <c r="D4" s="7"/>
      <c r="E4" s="7"/>
      <c r="F4" s="7"/>
      <c r="G4" s="8"/>
    </row>
    <row r="5" spans="1:7" ht="13.5" customHeight="1" x14ac:dyDescent="0.2">
      <c r="A5" s="6"/>
      <c r="B5" s="10"/>
      <c r="C5" s="7"/>
      <c r="D5" s="7"/>
      <c r="E5" s="7"/>
      <c r="F5" s="7"/>
      <c r="G5" s="8"/>
    </row>
    <row r="6" spans="1:7" ht="12" customHeight="1" x14ac:dyDescent="0.15">
      <c r="A6" s="6"/>
      <c r="B6" s="11"/>
      <c r="C6" s="11"/>
      <c r="D6" s="11"/>
      <c r="E6" s="7"/>
      <c r="F6" s="11"/>
      <c r="G6" s="12"/>
    </row>
    <row r="7" spans="1:7" ht="21" customHeight="1" x14ac:dyDescent="0.15">
      <c r="A7" s="13"/>
      <c r="B7" s="14" t="s">
        <v>3</v>
      </c>
      <c r="C7" s="14" t="s">
        <v>4</v>
      </c>
      <c r="D7" s="14" t="s">
        <v>5</v>
      </c>
      <c r="E7" s="15"/>
      <c r="F7" s="14" t="s">
        <v>6</v>
      </c>
      <c r="G7" s="14" t="s">
        <v>7</v>
      </c>
    </row>
    <row r="8" spans="1:7" ht="14.45" customHeight="1" x14ac:dyDescent="0.15">
      <c r="A8" s="13"/>
      <c r="B8" s="16">
        <v>1</v>
      </c>
      <c r="C8" s="17" t="s">
        <v>8</v>
      </c>
      <c r="D8" s="16">
        <v>150</v>
      </c>
      <c r="E8" s="18"/>
      <c r="F8" s="17" t="s">
        <v>9</v>
      </c>
      <c r="G8" s="16">
        <v>100</v>
      </c>
    </row>
    <row r="9" spans="1:7" ht="14.1" customHeight="1" x14ac:dyDescent="0.15">
      <c r="A9" s="13"/>
      <c r="B9" s="19">
        <v>2</v>
      </c>
      <c r="C9" s="20" t="s">
        <v>10</v>
      </c>
      <c r="D9" s="19">
        <v>135</v>
      </c>
      <c r="E9" s="18"/>
      <c r="F9" s="20" t="s">
        <v>11</v>
      </c>
      <c r="G9" s="19">
        <v>120</v>
      </c>
    </row>
    <row r="10" spans="1:7" ht="14.1" customHeight="1" x14ac:dyDescent="0.15">
      <c r="A10" s="13"/>
      <c r="B10" s="19">
        <v>3</v>
      </c>
      <c r="C10" s="20" t="s">
        <v>12</v>
      </c>
      <c r="D10" s="19">
        <v>125</v>
      </c>
      <c r="E10" s="18"/>
      <c r="F10" s="20" t="s">
        <v>13</v>
      </c>
      <c r="G10" s="20" t="s">
        <v>14</v>
      </c>
    </row>
    <row r="11" spans="1:7" ht="14.1" customHeight="1" x14ac:dyDescent="0.15">
      <c r="A11" s="13"/>
      <c r="B11" s="19">
        <v>4</v>
      </c>
      <c r="C11" s="20" t="s">
        <v>15</v>
      </c>
      <c r="D11" s="19">
        <v>120</v>
      </c>
      <c r="E11" s="18"/>
      <c r="F11" s="20" t="s">
        <v>16</v>
      </c>
      <c r="G11" s="20" t="s">
        <v>17</v>
      </c>
    </row>
    <row r="12" spans="1:7" ht="12" customHeight="1" x14ac:dyDescent="0.15">
      <c r="A12" s="13"/>
      <c r="B12" s="19">
        <v>5</v>
      </c>
      <c r="C12" s="20" t="s">
        <v>18</v>
      </c>
      <c r="D12" s="19">
        <v>115</v>
      </c>
      <c r="E12" s="18"/>
      <c r="F12" s="21" t="s">
        <v>19</v>
      </c>
      <c r="G12" s="22">
        <v>12</v>
      </c>
    </row>
    <row r="13" spans="1:7" ht="14.45" customHeight="1" x14ac:dyDescent="0.15">
      <c r="A13" s="13"/>
      <c r="B13" s="19">
        <v>6</v>
      </c>
      <c r="C13" s="20" t="s">
        <v>20</v>
      </c>
      <c r="D13" s="19">
        <v>110</v>
      </c>
      <c r="E13" s="23"/>
      <c r="F13" s="24"/>
      <c r="G13" s="25"/>
    </row>
    <row r="14" spans="1:7" ht="14.1" customHeight="1" x14ac:dyDescent="0.15">
      <c r="A14" s="13"/>
      <c r="B14" s="19">
        <v>7</v>
      </c>
      <c r="C14" s="20" t="s">
        <v>21</v>
      </c>
      <c r="D14" s="19">
        <v>105</v>
      </c>
      <c r="E14" s="23"/>
      <c r="F14" s="7"/>
      <c r="G14" s="8"/>
    </row>
    <row r="15" spans="1:7" ht="14.1" customHeight="1" x14ac:dyDescent="0.15">
      <c r="A15" s="13"/>
      <c r="B15" s="19">
        <v>8</v>
      </c>
      <c r="C15" s="20" t="s">
        <v>22</v>
      </c>
      <c r="D15" s="19">
        <v>100</v>
      </c>
      <c r="E15" s="23"/>
      <c r="F15" s="7"/>
      <c r="G15" s="8"/>
    </row>
    <row r="16" spans="1:7" ht="14.1" customHeight="1" x14ac:dyDescent="0.15">
      <c r="A16" s="13"/>
      <c r="B16" s="19">
        <v>9</v>
      </c>
      <c r="C16" s="20" t="s">
        <v>23</v>
      </c>
      <c r="D16" s="19">
        <v>95</v>
      </c>
      <c r="E16" s="23"/>
      <c r="F16" s="7"/>
      <c r="G16" s="8"/>
    </row>
    <row r="17" spans="1:7" ht="14.1" customHeight="1" x14ac:dyDescent="0.15">
      <c r="A17" s="13"/>
      <c r="B17" s="19">
        <v>10</v>
      </c>
      <c r="C17" s="20" t="s">
        <v>24</v>
      </c>
      <c r="D17" s="19">
        <v>91</v>
      </c>
      <c r="E17" s="23"/>
      <c r="F17" s="7"/>
      <c r="G17" s="8"/>
    </row>
    <row r="18" spans="1:7" ht="14.1" customHeight="1" x14ac:dyDescent="0.15">
      <c r="A18" s="13"/>
      <c r="B18" s="19">
        <v>11</v>
      </c>
      <c r="C18" s="20" t="s">
        <v>25</v>
      </c>
      <c r="D18" s="19">
        <v>87</v>
      </c>
      <c r="E18" s="23"/>
      <c r="F18" s="7"/>
      <c r="G18" s="8"/>
    </row>
    <row r="19" spans="1:7" ht="14.1" customHeight="1" x14ac:dyDescent="0.15">
      <c r="A19" s="13"/>
      <c r="B19" s="19">
        <v>12</v>
      </c>
      <c r="C19" s="20" t="s">
        <v>26</v>
      </c>
      <c r="D19" s="19">
        <v>83</v>
      </c>
      <c r="E19" s="23"/>
      <c r="F19" s="7"/>
      <c r="G19" s="8"/>
    </row>
    <row r="20" spans="1:7" ht="14.1" customHeight="1" x14ac:dyDescent="0.15">
      <c r="A20" s="13"/>
      <c r="B20" s="19">
        <v>13</v>
      </c>
      <c r="C20" s="20" t="s">
        <v>27</v>
      </c>
      <c r="D20" s="19">
        <v>79</v>
      </c>
      <c r="E20" s="23"/>
      <c r="F20" s="7"/>
      <c r="G20" s="8"/>
    </row>
    <row r="21" spans="1:7" ht="14.1" customHeight="1" x14ac:dyDescent="0.15">
      <c r="A21" s="13"/>
      <c r="B21" s="19">
        <v>14</v>
      </c>
      <c r="C21" s="20" t="s">
        <v>28</v>
      </c>
      <c r="D21" s="19">
        <v>75</v>
      </c>
      <c r="E21" s="23"/>
      <c r="F21" s="7"/>
      <c r="G21" s="8"/>
    </row>
    <row r="22" spans="1:7" ht="14.1" customHeight="1" x14ac:dyDescent="0.15">
      <c r="A22" s="13"/>
      <c r="B22" s="19">
        <v>15</v>
      </c>
      <c r="C22" s="20" t="s">
        <v>29</v>
      </c>
      <c r="D22" s="19">
        <v>71</v>
      </c>
      <c r="E22" s="23"/>
      <c r="F22" s="7"/>
      <c r="G22" s="8"/>
    </row>
    <row r="23" spans="1:7" ht="14.1" customHeight="1" x14ac:dyDescent="0.15">
      <c r="A23" s="13"/>
      <c r="B23" s="19">
        <v>16</v>
      </c>
      <c r="C23" s="20" t="s">
        <v>30</v>
      </c>
      <c r="D23" s="19">
        <v>67</v>
      </c>
      <c r="E23" s="23"/>
      <c r="F23" s="7"/>
      <c r="G23" s="8"/>
    </row>
    <row r="24" spans="1:7" ht="14.1" customHeight="1" x14ac:dyDescent="0.15">
      <c r="A24" s="13"/>
      <c r="B24" s="19">
        <v>17</v>
      </c>
      <c r="C24" s="20" t="s">
        <v>31</v>
      </c>
      <c r="D24" s="19">
        <v>63</v>
      </c>
      <c r="E24" s="23"/>
      <c r="F24" s="7"/>
      <c r="G24" s="8"/>
    </row>
    <row r="25" spans="1:7" ht="14.1" customHeight="1" x14ac:dyDescent="0.15">
      <c r="A25" s="13"/>
      <c r="B25" s="19">
        <v>18</v>
      </c>
      <c r="C25" s="20" t="s">
        <v>32</v>
      </c>
      <c r="D25" s="19">
        <v>59</v>
      </c>
      <c r="E25" s="23"/>
      <c r="F25" s="7"/>
      <c r="G25" s="8"/>
    </row>
    <row r="26" spans="1:7" ht="14.1" customHeight="1" x14ac:dyDescent="0.15">
      <c r="A26" s="13"/>
      <c r="B26" s="19">
        <v>19</v>
      </c>
      <c r="C26" s="20" t="s">
        <v>33</v>
      </c>
      <c r="D26" s="19">
        <v>55</v>
      </c>
      <c r="E26" s="23"/>
      <c r="F26" s="7"/>
      <c r="G26" s="8"/>
    </row>
    <row r="27" spans="1:7" ht="14.1" customHeight="1" x14ac:dyDescent="0.15">
      <c r="A27" s="13"/>
      <c r="B27" s="19">
        <v>20</v>
      </c>
      <c r="C27" s="20" t="s">
        <v>34</v>
      </c>
      <c r="D27" s="19">
        <v>52</v>
      </c>
      <c r="E27" s="23"/>
      <c r="F27" s="7"/>
      <c r="G27" s="8"/>
    </row>
    <row r="28" spans="1:7" ht="14.1" customHeight="1" x14ac:dyDescent="0.15">
      <c r="A28" s="13"/>
      <c r="B28" s="19">
        <v>21</v>
      </c>
      <c r="C28" s="20" t="s">
        <v>35</v>
      </c>
      <c r="D28" s="19">
        <v>49</v>
      </c>
      <c r="E28" s="23"/>
      <c r="F28" s="7"/>
      <c r="G28" s="8"/>
    </row>
    <row r="29" spans="1:7" ht="14.1" customHeight="1" x14ac:dyDescent="0.15">
      <c r="A29" s="13"/>
      <c r="B29" s="19">
        <v>22</v>
      </c>
      <c r="C29" s="20" t="s">
        <v>36</v>
      </c>
      <c r="D29" s="19">
        <v>46</v>
      </c>
      <c r="E29" s="23"/>
      <c r="F29" s="7"/>
      <c r="G29" s="8"/>
    </row>
    <row r="30" spans="1:7" ht="14.1" customHeight="1" x14ac:dyDescent="0.15">
      <c r="A30" s="13"/>
      <c r="B30" s="19">
        <v>23</v>
      </c>
      <c r="C30" s="20" t="s">
        <v>37</v>
      </c>
      <c r="D30" s="19">
        <v>43</v>
      </c>
      <c r="E30" s="23"/>
      <c r="F30" s="7"/>
      <c r="G30" s="8"/>
    </row>
    <row r="31" spans="1:7" ht="14.1" customHeight="1" x14ac:dyDescent="0.15">
      <c r="A31" s="13"/>
      <c r="B31" s="19">
        <v>24</v>
      </c>
      <c r="C31" s="20" t="s">
        <v>38</v>
      </c>
      <c r="D31" s="19">
        <v>40</v>
      </c>
      <c r="E31" s="23"/>
      <c r="F31" s="7"/>
      <c r="G31" s="8"/>
    </row>
    <row r="32" spans="1:7" ht="14.1" customHeight="1" x14ac:dyDescent="0.15">
      <c r="A32" s="13"/>
      <c r="B32" s="19">
        <v>25</v>
      </c>
      <c r="C32" s="20" t="s">
        <v>39</v>
      </c>
      <c r="D32" s="19">
        <v>37</v>
      </c>
      <c r="E32" s="23"/>
      <c r="F32" s="7"/>
      <c r="G32" s="8"/>
    </row>
    <row r="33" spans="1:7" ht="14.1" customHeight="1" x14ac:dyDescent="0.15">
      <c r="A33" s="13"/>
      <c r="B33" s="19">
        <v>26</v>
      </c>
      <c r="C33" s="20" t="s">
        <v>40</v>
      </c>
      <c r="D33" s="19">
        <v>34</v>
      </c>
      <c r="E33" s="23"/>
      <c r="F33" s="7"/>
      <c r="G33" s="8"/>
    </row>
    <row r="34" spans="1:7" ht="14.1" customHeight="1" x14ac:dyDescent="0.15">
      <c r="A34" s="13"/>
      <c r="B34" s="19">
        <v>27</v>
      </c>
      <c r="C34" s="20" t="s">
        <v>41</v>
      </c>
      <c r="D34" s="19">
        <v>31</v>
      </c>
      <c r="E34" s="23"/>
      <c r="F34" s="7"/>
      <c r="G34" s="8"/>
    </row>
    <row r="35" spans="1:7" ht="14.1" customHeight="1" x14ac:dyDescent="0.15">
      <c r="A35" s="13"/>
      <c r="B35" s="19">
        <v>28</v>
      </c>
      <c r="C35" s="20" t="s">
        <v>42</v>
      </c>
      <c r="D35" s="19">
        <v>28</v>
      </c>
      <c r="E35" s="23"/>
      <c r="F35" s="7"/>
      <c r="G35" s="8"/>
    </row>
    <row r="36" spans="1:7" ht="14.1" customHeight="1" x14ac:dyDescent="0.15">
      <c r="A36" s="13"/>
      <c r="B36" s="19">
        <v>29</v>
      </c>
      <c r="C36" s="20" t="s">
        <v>43</v>
      </c>
      <c r="D36" s="19">
        <v>25</v>
      </c>
      <c r="E36" s="23"/>
      <c r="F36" s="7"/>
      <c r="G36" s="8"/>
    </row>
    <row r="37" spans="1:7" ht="14.1" customHeight="1" x14ac:dyDescent="0.15">
      <c r="A37" s="13"/>
      <c r="B37" s="19">
        <v>30</v>
      </c>
      <c r="C37" s="20" t="s">
        <v>44</v>
      </c>
      <c r="D37" s="19">
        <v>23</v>
      </c>
      <c r="E37" s="23"/>
      <c r="F37" s="7"/>
      <c r="G37" s="8"/>
    </row>
    <row r="38" spans="1:7" ht="14.1" customHeight="1" x14ac:dyDescent="0.15">
      <c r="A38" s="13"/>
      <c r="B38" s="19">
        <v>31</v>
      </c>
      <c r="C38" s="20" t="s">
        <v>45</v>
      </c>
      <c r="D38" s="19">
        <v>21</v>
      </c>
      <c r="E38" s="23"/>
      <c r="F38" s="7"/>
      <c r="G38" s="8"/>
    </row>
    <row r="39" spans="1:7" ht="14.1" customHeight="1" x14ac:dyDescent="0.15">
      <c r="A39" s="13"/>
      <c r="B39" s="19">
        <v>32</v>
      </c>
      <c r="C39" s="20" t="s">
        <v>46</v>
      </c>
      <c r="D39" s="19">
        <v>19</v>
      </c>
      <c r="E39" s="23"/>
      <c r="F39" s="7"/>
      <c r="G39" s="8"/>
    </row>
    <row r="40" spans="1:7" ht="14.1" customHeight="1" x14ac:dyDescent="0.15">
      <c r="A40" s="13"/>
      <c r="B40" s="19">
        <v>33</v>
      </c>
      <c r="C40" s="20" t="s">
        <v>47</v>
      </c>
      <c r="D40" s="19">
        <v>17</v>
      </c>
      <c r="E40" s="23"/>
      <c r="F40" s="7"/>
      <c r="G40" s="8"/>
    </row>
    <row r="41" spans="1:7" ht="14.1" customHeight="1" x14ac:dyDescent="0.15">
      <c r="A41" s="13"/>
      <c r="B41" s="19">
        <v>34</v>
      </c>
      <c r="C41" s="20" t="s">
        <v>48</v>
      </c>
      <c r="D41" s="19">
        <v>15</v>
      </c>
      <c r="E41" s="23"/>
      <c r="F41" s="7"/>
      <c r="G41" s="8"/>
    </row>
    <row r="42" spans="1:7" ht="14.1" customHeight="1" x14ac:dyDescent="0.15">
      <c r="A42" s="13"/>
      <c r="B42" s="19">
        <v>35</v>
      </c>
      <c r="C42" s="20" t="s">
        <v>49</v>
      </c>
      <c r="D42" s="19">
        <v>14</v>
      </c>
      <c r="E42" s="23"/>
      <c r="F42" s="7"/>
      <c r="G42" s="8"/>
    </row>
    <row r="43" spans="1:7" ht="14.1" customHeight="1" x14ac:dyDescent="0.15">
      <c r="A43" s="13"/>
      <c r="B43" s="19">
        <v>36</v>
      </c>
      <c r="C43" s="20" t="s">
        <v>50</v>
      </c>
      <c r="D43" s="19">
        <v>13</v>
      </c>
      <c r="E43" s="23"/>
      <c r="F43" s="7"/>
      <c r="G43" s="8"/>
    </row>
    <row r="44" spans="1:7" ht="14.1" customHeight="1" x14ac:dyDescent="0.15">
      <c r="A44" s="13"/>
      <c r="B44" s="19">
        <v>37</v>
      </c>
      <c r="C44" s="20" t="s">
        <v>51</v>
      </c>
      <c r="D44" s="19">
        <v>12</v>
      </c>
      <c r="E44" s="23"/>
      <c r="F44" s="7"/>
      <c r="G44" s="8"/>
    </row>
    <row r="45" spans="1:7" ht="14.1" customHeight="1" x14ac:dyDescent="0.15">
      <c r="A45" s="13"/>
      <c r="B45" s="19">
        <v>38</v>
      </c>
      <c r="C45" s="20" t="s">
        <v>52</v>
      </c>
      <c r="D45" s="19">
        <v>11</v>
      </c>
      <c r="E45" s="23"/>
      <c r="F45" s="7"/>
      <c r="G45" s="8"/>
    </row>
    <row r="46" spans="1:7" ht="14.1" customHeight="1" x14ac:dyDescent="0.15">
      <c r="A46" s="13"/>
      <c r="B46" s="19">
        <v>39</v>
      </c>
      <c r="C46" s="20" t="s">
        <v>53</v>
      </c>
      <c r="D46" s="19">
        <v>10</v>
      </c>
      <c r="E46" s="23"/>
      <c r="F46" s="7"/>
      <c r="G46" s="8"/>
    </row>
    <row r="47" spans="1:7" ht="14.1" customHeight="1" x14ac:dyDescent="0.15">
      <c r="A47" s="13"/>
      <c r="B47" s="19">
        <v>40</v>
      </c>
      <c r="C47" s="20" t="s">
        <v>54</v>
      </c>
      <c r="D47" s="19">
        <v>9</v>
      </c>
      <c r="E47" s="23"/>
      <c r="F47" s="7"/>
      <c r="G47" s="8"/>
    </row>
    <row r="48" spans="1:7" ht="14.1" customHeight="1" x14ac:dyDescent="0.15">
      <c r="A48" s="13"/>
      <c r="B48" s="19">
        <v>41</v>
      </c>
      <c r="C48" s="20" t="s">
        <v>55</v>
      </c>
      <c r="D48" s="19">
        <v>8</v>
      </c>
      <c r="E48" s="23"/>
      <c r="F48" s="7"/>
      <c r="G48" s="8"/>
    </row>
    <row r="49" spans="1:7" ht="14.1" customHeight="1" x14ac:dyDescent="0.15">
      <c r="A49" s="13"/>
      <c r="B49" s="19">
        <v>42</v>
      </c>
      <c r="C49" s="20" t="s">
        <v>56</v>
      </c>
      <c r="D49" s="19">
        <v>7</v>
      </c>
      <c r="E49" s="23"/>
      <c r="F49" s="7"/>
      <c r="G49" s="8"/>
    </row>
    <row r="50" spans="1:7" ht="14.1" customHeight="1" x14ac:dyDescent="0.15">
      <c r="A50" s="13"/>
      <c r="B50" s="19">
        <v>43</v>
      </c>
      <c r="C50" s="20" t="s">
        <v>57</v>
      </c>
      <c r="D50" s="19">
        <v>6</v>
      </c>
      <c r="E50" s="23"/>
      <c r="F50" s="7"/>
      <c r="G50" s="8"/>
    </row>
    <row r="51" spans="1:7" ht="14.1" customHeight="1" x14ac:dyDescent="0.15">
      <c r="A51" s="13"/>
      <c r="B51" s="19">
        <v>44</v>
      </c>
      <c r="C51" s="20" t="s">
        <v>58</v>
      </c>
      <c r="D51" s="19">
        <v>5</v>
      </c>
      <c r="E51" s="23"/>
      <c r="F51" s="7"/>
      <c r="G51" s="8"/>
    </row>
    <row r="52" spans="1:7" ht="14.1" customHeight="1" x14ac:dyDescent="0.15">
      <c r="A52" s="13"/>
      <c r="B52" s="19">
        <v>45</v>
      </c>
      <c r="C52" s="20" t="s">
        <v>59</v>
      </c>
      <c r="D52" s="19">
        <v>4</v>
      </c>
      <c r="E52" s="23"/>
      <c r="F52" s="7"/>
      <c r="G52" s="8"/>
    </row>
    <row r="53" spans="1:7" ht="14.1" customHeight="1" x14ac:dyDescent="0.15">
      <c r="A53" s="13"/>
      <c r="B53" s="19">
        <v>46</v>
      </c>
      <c r="C53" s="20" t="s">
        <v>60</v>
      </c>
      <c r="D53" s="19">
        <v>3</v>
      </c>
      <c r="E53" s="23"/>
      <c r="F53" s="7"/>
      <c r="G53" s="8"/>
    </row>
    <row r="54" spans="1:7" ht="14.1" customHeight="1" x14ac:dyDescent="0.15">
      <c r="A54" s="13"/>
      <c r="B54" s="19">
        <v>47</v>
      </c>
      <c r="C54" s="20" t="s">
        <v>61</v>
      </c>
      <c r="D54" s="19">
        <v>2</v>
      </c>
      <c r="E54" s="23"/>
      <c r="F54" s="7"/>
      <c r="G54" s="8"/>
    </row>
    <row r="55" spans="1:7" ht="14.1" customHeight="1" x14ac:dyDescent="0.15">
      <c r="A55" s="13"/>
      <c r="B55" s="19">
        <v>48</v>
      </c>
      <c r="C55" s="20" t="s">
        <v>62</v>
      </c>
      <c r="D55" s="19">
        <v>1</v>
      </c>
      <c r="E55" s="23"/>
      <c r="F55" s="7"/>
      <c r="G55" s="8"/>
    </row>
    <row r="56" spans="1:7" ht="14.45" customHeight="1" x14ac:dyDescent="0.15">
      <c r="A56" s="13"/>
      <c r="B56" s="26"/>
      <c r="C56" s="26"/>
      <c r="D56" s="26"/>
      <c r="E56" s="23"/>
      <c r="F56" s="7"/>
      <c r="G56" s="8"/>
    </row>
    <row r="57" spans="1:7" ht="14.45" customHeight="1" x14ac:dyDescent="0.15">
      <c r="A57" s="27"/>
      <c r="B57" s="28"/>
      <c r="C57" s="28"/>
      <c r="D57" s="28"/>
      <c r="E57" s="29"/>
      <c r="F57" s="29"/>
      <c r="G57" s="30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9"/>
  <sheetViews>
    <sheetView showGridLines="0" workbookViewId="0"/>
  </sheetViews>
  <sheetFormatPr defaultColWidth="8.875" defaultRowHeight="11.45" customHeight="1" x14ac:dyDescent="0.15"/>
  <cols>
    <col min="1" max="1" width="18.375" style="1" customWidth="1"/>
    <col min="2" max="3" width="14.625" style="1" customWidth="1"/>
    <col min="4" max="4" width="14.125" style="1" customWidth="1"/>
    <col min="5" max="5" width="8.875" style="1" customWidth="1"/>
    <col min="6" max="6" width="18.375" style="1" customWidth="1"/>
    <col min="7" max="7" width="8.875" style="1" customWidth="1"/>
    <col min="8" max="16384" width="8.875" style="1"/>
  </cols>
  <sheetData>
    <row r="1" spans="1:6" ht="14.1" customHeight="1" x14ac:dyDescent="0.15">
      <c r="A1" s="31" t="s">
        <v>4</v>
      </c>
      <c r="B1" s="32"/>
      <c r="C1" s="32"/>
      <c r="D1" s="32"/>
      <c r="E1" s="32"/>
      <c r="F1" s="32"/>
    </row>
    <row r="2" spans="1:6" ht="14.1" customHeight="1" x14ac:dyDescent="0.15">
      <c r="A2" s="31" t="s">
        <v>8</v>
      </c>
      <c r="B2" s="33" cm="1">
        <f t="array" ref="B2">IF(D2="",0,1)</f>
        <v>0</v>
      </c>
      <c r="C2" s="32" t="str" cm="1">
        <f t="array" ref="C2">IF(B2=0,"",SUM(B$2:B2))</f>
        <v/>
      </c>
      <c r="D2" s="32" t="str" cm="1">
        <f t="array" ref="D2">IF(COUNTIF(Invullijst!C1:C57,A2)&gt;=1,"",A2)</f>
        <v/>
      </c>
      <c r="E2" s="33">
        <v>1</v>
      </c>
      <c r="F2" s="32" t="str" cm="1">
        <f t="array" ref="F2">IFERROR(VLOOKUP(E2,$C$2:$D$49,2,0),"")</f>
        <v>Bosnië-Herzegovina</v>
      </c>
    </row>
    <row r="3" spans="1:6" ht="14.1" customHeight="1" x14ac:dyDescent="0.15">
      <c r="A3" s="31" t="s">
        <v>54</v>
      </c>
      <c r="B3" s="33" cm="1">
        <f t="array" ref="B3">IF(D3="",0,1)</f>
        <v>0</v>
      </c>
      <c r="C3" s="32" t="str" cm="1">
        <f t="array" ref="C3">IF(B3=0,"",SUM(B$2:B3))</f>
        <v/>
      </c>
      <c r="D3" s="32" t="str" cm="1">
        <f t="array" ref="D3">IF(COUNTIF(Invullijst!C1:C57,A3)&gt;=1,"",A3)</f>
        <v/>
      </c>
      <c r="E3" s="33">
        <v>2</v>
      </c>
      <c r="F3" s="32" t="str" cm="1">
        <f t="array" ref="F3">IFERROR(VLOOKUP(E3,$C$2:$D$49,2,0),"")</f>
        <v>Curacao</v>
      </c>
    </row>
    <row r="4" spans="1:6" ht="14.1" customHeight="1" x14ac:dyDescent="0.15">
      <c r="A4" s="31" t="s">
        <v>57</v>
      </c>
      <c r="B4" s="33" cm="1">
        <f t="array" ref="B4">IF(D4="",0,1)</f>
        <v>0</v>
      </c>
      <c r="C4" s="32" t="str" cm="1">
        <f t="array" ref="C4">IF(B4=0,"",SUM(B$2:B4))</f>
        <v/>
      </c>
      <c r="D4" s="32" t="str" cm="1">
        <f t="array" ref="D4">IF(COUNTIF(Invullijst!C1:C57,A4)&gt;=1,"",A4)</f>
        <v/>
      </c>
      <c r="E4" s="33">
        <v>3</v>
      </c>
      <c r="F4" s="32" t="str" cm="1">
        <f t="array" ref="F4">IFERROR(VLOOKUP(E4,$C$2:$D$49,2,0),"")</f>
        <v/>
      </c>
    </row>
    <row r="5" spans="1:6" ht="14.1" customHeight="1" x14ac:dyDescent="0.15">
      <c r="A5" s="31" t="s">
        <v>58</v>
      </c>
      <c r="B5" s="33" cm="1">
        <f t="array" ref="B5">IF(D5="",0,1)</f>
        <v>0</v>
      </c>
      <c r="C5" s="32" t="str" cm="1">
        <f t="array" ref="C5">IF(B5=0,"",SUM(B$2:B5))</f>
        <v/>
      </c>
      <c r="D5" s="32" t="str" cm="1">
        <f t="array" ref="D5">IF(COUNTIF(Invullijst!C1:C57,A5)&gt;=1,"",A5)</f>
        <v/>
      </c>
      <c r="E5" s="33">
        <v>4</v>
      </c>
      <c r="F5" s="32" t="str" cm="1">
        <f t="array" ref="F5">IFERROR(VLOOKUP(E5,$C$2:$D$49,2,0),"")</f>
        <v/>
      </c>
    </row>
    <row r="6" spans="1:6" ht="14.1" customHeight="1" x14ac:dyDescent="0.15">
      <c r="A6" s="31" t="s">
        <v>63</v>
      </c>
      <c r="B6" s="33" cm="1">
        <f t="array" ref="B6">IF(D6="",0,1)</f>
        <v>1</v>
      </c>
      <c r="C6" s="33" cm="1">
        <f t="array" ref="C6">IF(B6=0,"",SUM(B$2:B6))</f>
        <v>1</v>
      </c>
      <c r="D6" s="32" t="str" cm="1">
        <f t="array" ref="D6">IF(COUNTIF(Invullijst!C1:C57,A6)&gt;=1,"",A6)</f>
        <v>Bosnië-Herzegovina</v>
      </c>
      <c r="E6" s="33">
        <v>5</v>
      </c>
      <c r="F6" s="32" t="str" cm="1">
        <f t="array" ref="F6">IFERROR(VLOOKUP(E6,$C$2:$D$49,2,0),"")</f>
        <v/>
      </c>
    </row>
    <row r="7" spans="1:6" ht="14.1" customHeight="1" x14ac:dyDescent="0.15">
      <c r="A7" s="31" t="s">
        <v>48</v>
      </c>
      <c r="B7" s="33" cm="1">
        <f t="array" ref="B7">IF(D7="",0,1)</f>
        <v>0</v>
      </c>
      <c r="C7" s="32" t="str" cm="1">
        <f t="array" ref="C7">IF(B7=0,"",SUM(B$2:B7))</f>
        <v/>
      </c>
      <c r="D7" s="32" t="str" cm="1">
        <f t="array" ref="D7">IF(COUNTIF(Invullijst!C1:C57,A7)&gt;=1,"",A7)</f>
        <v/>
      </c>
      <c r="E7" s="33">
        <v>6</v>
      </c>
      <c r="F7" s="32" t="str" cm="1">
        <f t="array" ref="F7">IFERROR(VLOOKUP(E7,$C$2:$D$49,2,0),"")</f>
        <v/>
      </c>
    </row>
    <row r="8" spans="1:6" ht="14.1" customHeight="1" x14ac:dyDescent="0.15">
      <c r="A8" s="31" t="s">
        <v>50</v>
      </c>
      <c r="B8" s="33" cm="1">
        <f t="array" ref="B8">IF(D8="",0,1)</f>
        <v>0</v>
      </c>
      <c r="C8" s="32" t="str" cm="1">
        <f t="array" ref="C8">IF(B8=0,"",SUM(B$2:B8))</f>
        <v/>
      </c>
      <c r="D8" s="32" t="str" cm="1">
        <f t="array" ref="D8">IF(COUNTIF(Invullijst!C1:C57,A8)&gt;=1,"",A8)</f>
        <v/>
      </c>
      <c r="E8" s="33">
        <v>7</v>
      </c>
      <c r="F8" s="32" t="str" cm="1">
        <f t="array" ref="F8">IFERROR(VLOOKUP(E8,$C$2:$D$49,2,0),"")</f>
        <v/>
      </c>
    </row>
    <row r="9" spans="1:6" ht="14.1" customHeight="1" x14ac:dyDescent="0.15">
      <c r="A9" s="31" t="s">
        <v>55</v>
      </c>
      <c r="B9" s="33" cm="1">
        <f t="array" ref="B9">IF(D9="",0,1)</f>
        <v>0</v>
      </c>
      <c r="C9" s="32" t="str" cm="1">
        <f t="array" ref="C9">IF(B9=0,"",SUM(B$2:B9))</f>
        <v/>
      </c>
      <c r="D9" s="32" t="str" cm="1">
        <f t="array" ref="D9">IF(COUNTIF(Invullijst!C1:C57,A9)&gt;=1,"",A9)</f>
        <v/>
      </c>
      <c r="E9" s="33">
        <v>8</v>
      </c>
      <c r="F9" s="32" t="str" cm="1">
        <f t="array" ref="F9">IFERROR(VLOOKUP(E9,$C$2:$D$49,2,0),"")</f>
        <v/>
      </c>
    </row>
    <row r="10" spans="1:6" ht="14.1" customHeight="1" x14ac:dyDescent="0.15">
      <c r="A10" s="31" t="s">
        <v>49</v>
      </c>
      <c r="B10" s="33" cm="1">
        <f t="array" ref="B10">IF(D10="",0,1)</f>
        <v>0</v>
      </c>
      <c r="C10" s="32" t="str" cm="1">
        <f t="array" ref="C10">IF(B10=0,"",SUM(B$2:B10))</f>
        <v/>
      </c>
      <c r="D10" s="32" t="str" cm="1">
        <f t="array" ref="D10">IF(COUNTIF(Invullijst!C1:C57,A10)&gt;=1,"",A10)</f>
        <v/>
      </c>
      <c r="E10" s="33">
        <v>9</v>
      </c>
      <c r="F10" s="32" t="str" cm="1">
        <f t="array" ref="F10">IFERROR(VLOOKUP(E10,$C$2:$D$49,2,0),"")</f>
        <v/>
      </c>
    </row>
    <row r="11" spans="1:6" ht="14.1" customHeight="1" x14ac:dyDescent="0.15">
      <c r="A11" s="31" t="s">
        <v>64</v>
      </c>
      <c r="B11" s="33" cm="1">
        <f t="array" ref="B11">IF(D11="",0,1)</f>
        <v>1</v>
      </c>
      <c r="C11" s="33" cm="1">
        <f t="array" ref="C11">IF(B11=0,"",SUM(B$2:B11))</f>
        <v>2</v>
      </c>
      <c r="D11" s="32" t="str" cm="1">
        <f t="array" ref="D11">IF(COUNTIF(Invullijst!C1:C57,A11)&gt;=1,"",A11)</f>
        <v>Curacao</v>
      </c>
      <c r="E11" s="33">
        <v>10</v>
      </c>
      <c r="F11" s="32" t="str" cm="1">
        <f t="array" ref="F11">IFERROR(VLOOKUP(E11,$C$2:$D$49,2,0),"")</f>
        <v/>
      </c>
    </row>
    <row r="12" spans="1:6" ht="14.1" customHeight="1" x14ac:dyDescent="0.15">
      <c r="A12" s="31" t="s">
        <v>45</v>
      </c>
      <c r="B12" s="33" cm="1">
        <f t="array" ref="B12">IF(D12="",0,1)</f>
        <v>0</v>
      </c>
      <c r="C12" s="32" t="str" cm="1">
        <f t="array" ref="C12">IF(B12=0,"",SUM(B$2:B12))</f>
        <v/>
      </c>
      <c r="D12" s="32" t="str" cm="1">
        <f t="array" ref="D12">IF(COUNTIF(Invullijst!C1:C57,A12)&gt;=1,"",A12)</f>
        <v/>
      </c>
      <c r="E12" s="33">
        <v>11</v>
      </c>
      <c r="F12" s="32" t="str" cm="1">
        <f t="array" ref="F12">IFERROR(VLOOKUP(E12,$C$2:$D$49,2,0),"")</f>
        <v/>
      </c>
    </row>
    <row r="13" spans="1:6" ht="14.1" customHeight="1" x14ac:dyDescent="0.15">
      <c r="A13" s="31" t="s">
        <v>42</v>
      </c>
      <c r="B13" s="33" cm="1">
        <f t="array" ref="B13">IF(D13="",0,1)</f>
        <v>0</v>
      </c>
      <c r="C13" s="32" t="str" cm="1">
        <f t="array" ref="C13">IF(B13=0,"",SUM(B$2:B13))</f>
        <v/>
      </c>
      <c r="D13" s="32" t="str" cm="1">
        <f t="array" ref="D13">IF(COUNTIF(Invullijst!C1:C57,A13)&gt;=1,"",A13)</f>
        <v/>
      </c>
      <c r="E13" s="33">
        <v>12</v>
      </c>
      <c r="F13" s="32" t="str" cm="1">
        <f t="array" ref="F13">IFERROR(VLOOKUP(E13,$C$2:$D$49,2,0),"")</f>
        <v/>
      </c>
    </row>
    <row r="14" spans="1:6" ht="14.1" customHeight="1" x14ac:dyDescent="0.15">
      <c r="A14" s="31" t="s">
        <v>44</v>
      </c>
      <c r="B14" s="33" cm="1">
        <f t="array" ref="B14">IF(D14="",0,1)</f>
        <v>0</v>
      </c>
      <c r="C14" s="32" t="str" cm="1">
        <f t="array" ref="C14">IF(B14=0,"",SUM(B$2:B14))</f>
        <v/>
      </c>
      <c r="D14" s="32" t="str" cm="1">
        <f t="array" ref="D14">IF(COUNTIF(Invullijst!C1:C57,A14)&gt;=1,"",A14)</f>
        <v/>
      </c>
      <c r="E14" s="33">
        <v>13</v>
      </c>
      <c r="F14" s="32" t="str" cm="1">
        <f t="array" ref="F14">IFERROR(VLOOKUP(E14,$C$2:$D$49,2,0),"")</f>
        <v/>
      </c>
    </row>
    <row r="15" spans="1:6" ht="14.1" customHeight="1" x14ac:dyDescent="0.15">
      <c r="A15" s="31" t="s">
        <v>41</v>
      </c>
      <c r="B15" s="33" cm="1">
        <f t="array" ref="B15">IF(D15="",0,1)</f>
        <v>0</v>
      </c>
      <c r="C15" s="32" t="str" cm="1">
        <f t="array" ref="C15">IF(B15=0,"",SUM(B$2:B15))</f>
        <v/>
      </c>
      <c r="D15" s="32" t="str" cm="1">
        <f t="array" ref="D15">IF(COUNTIF(Invullijst!C1:C57,A15)&gt;=1,"",A15)</f>
        <v/>
      </c>
      <c r="E15" s="33">
        <v>14</v>
      </c>
      <c r="F15" s="32" t="str" cm="1">
        <f t="array" ref="F15">IFERROR(VLOOKUP(E15,$C$2:$D$49,2,0),"")</f>
        <v/>
      </c>
    </row>
    <row r="16" spans="1:6" ht="14.1" customHeight="1" x14ac:dyDescent="0.15">
      <c r="A16" s="31" t="s">
        <v>46</v>
      </c>
      <c r="B16" s="33" cm="1">
        <f t="array" ref="B16">IF(D16="",0,1)</f>
        <v>0</v>
      </c>
      <c r="C16" s="32" t="str" cm="1">
        <f t="array" ref="C16">IF(B16=0,"",SUM(B$2:B16))</f>
        <v/>
      </c>
      <c r="D16" s="32" t="str" cm="1">
        <f t="array" ref="D16">IF(COUNTIF(Invullijst!C1:C57,A16)&gt;=1,"",A16)</f>
        <v/>
      </c>
      <c r="E16" s="33">
        <v>15</v>
      </c>
      <c r="F16" s="32" t="str" cm="1">
        <f t="array" ref="F16">IFERROR(VLOOKUP(E16,$C$2:$D$49,2,0),"")</f>
        <v/>
      </c>
    </row>
    <row r="17" spans="1:6" ht="14.1" customHeight="1" x14ac:dyDescent="0.15">
      <c r="A17" s="31" t="s">
        <v>43</v>
      </c>
      <c r="B17" s="33" cm="1">
        <f t="array" ref="B17">IF(D17="",0,1)</f>
        <v>0</v>
      </c>
      <c r="C17" s="32" t="str" cm="1">
        <f t="array" ref="C17">IF(B17=0,"",SUM(B$2:B17))</f>
        <v/>
      </c>
      <c r="D17" s="32" t="str" cm="1">
        <f t="array" ref="D17">IF(COUNTIF(Invullijst!C1:C57,A17)&gt;=1,"",A17)</f>
        <v/>
      </c>
      <c r="E17" s="33">
        <v>16</v>
      </c>
      <c r="F17" s="32" t="str" cm="1">
        <f t="array" ref="F17">IFERROR(VLOOKUP(E17,$C$2:$D$49,2,0),"")</f>
        <v/>
      </c>
    </row>
    <row r="18" spans="1:6" ht="14.1" customHeight="1" x14ac:dyDescent="0.15">
      <c r="A18" s="31" t="s">
        <v>51</v>
      </c>
      <c r="B18" s="33" cm="1">
        <f t="array" ref="B18">IF(D18="",0,1)</f>
        <v>0</v>
      </c>
      <c r="C18" s="32" t="str" cm="1">
        <f t="array" ref="C18">IF(B18=0,"",SUM(B$2:B18))</f>
        <v/>
      </c>
      <c r="D18" s="32" t="str" cm="1">
        <f t="array" ref="D18">IF(COUNTIF(Invullijst!C1:C57,A18)&gt;=1,"",A18)</f>
        <v/>
      </c>
      <c r="E18" s="33">
        <v>17</v>
      </c>
      <c r="F18" s="32" t="str" cm="1">
        <f t="array" ref="F18">IFERROR(VLOOKUP(E18,$C$2:$D$49,2,0),"")</f>
        <v/>
      </c>
    </row>
    <row r="19" spans="1:6" ht="14.1" customHeight="1" x14ac:dyDescent="0.15">
      <c r="A19" s="31" t="s">
        <v>38</v>
      </c>
      <c r="B19" s="33" cm="1">
        <f t="array" ref="B19">IF(D19="",0,1)</f>
        <v>0</v>
      </c>
      <c r="C19" s="32" t="str" cm="1">
        <f t="array" ref="C19">IF(B19=0,"",SUM(B$2:B19))</f>
        <v/>
      </c>
      <c r="D19" s="32" t="str" cm="1">
        <f t="array" ref="D19">IF(COUNTIF(Invullijst!C1:C57,A19)&gt;=1,"",A19)</f>
        <v/>
      </c>
      <c r="E19" s="33">
        <v>18</v>
      </c>
      <c r="F19" s="32" t="str" cm="1">
        <f t="array" ref="F19">IFERROR(VLOOKUP(E19,$C$2:$D$49,2,0),"")</f>
        <v/>
      </c>
    </row>
    <row r="20" spans="1:6" ht="14.1" customHeight="1" x14ac:dyDescent="0.15">
      <c r="A20" s="31" t="s">
        <v>40</v>
      </c>
      <c r="B20" s="33" cm="1">
        <f t="array" ref="B20">IF(D20="",0,1)</f>
        <v>0</v>
      </c>
      <c r="C20" s="32" t="str" cm="1">
        <f t="array" ref="C20">IF(B20=0,"",SUM(B$2:B20))</f>
        <v/>
      </c>
      <c r="D20" s="32" t="str" cm="1">
        <f t="array" ref="D20">IF(COUNTIF(Invullijst!C1:C57,A20)&gt;=1,"",A20)</f>
        <v/>
      </c>
      <c r="E20" s="33">
        <v>19</v>
      </c>
      <c r="F20" s="32" t="str" cm="1">
        <f t="array" ref="F20">IFERROR(VLOOKUP(E20,$C$2:$D$49,2,0),"")</f>
        <v/>
      </c>
    </row>
    <row r="21" spans="1:6" ht="14.1" customHeight="1" x14ac:dyDescent="0.15">
      <c r="A21" s="31" t="s">
        <v>39</v>
      </c>
      <c r="B21" s="33" cm="1">
        <f t="array" ref="B21">IF(D21="",0,1)</f>
        <v>0</v>
      </c>
      <c r="C21" s="32" t="str" cm="1">
        <f t="array" ref="C21">IF(B21=0,"",SUM(B$2:B21))</f>
        <v/>
      </c>
      <c r="D21" s="32" t="str" cm="1">
        <f t="array" ref="D21">IF(COUNTIF(Invullijst!C1:C57,A21)&gt;=1,"",A21)</f>
        <v/>
      </c>
      <c r="E21" s="33">
        <v>20</v>
      </c>
      <c r="F21" s="32" t="str" cm="1">
        <f t="array" ref="F21">IFERROR(VLOOKUP(E21,$C$2:$D$49,2,0),"")</f>
        <v/>
      </c>
    </row>
    <row r="22" spans="1:6" ht="14.1" customHeight="1" x14ac:dyDescent="0.15">
      <c r="A22" s="31" t="s">
        <v>52</v>
      </c>
      <c r="B22" s="33" cm="1">
        <f t="array" ref="B22">IF(D22="",0,1)</f>
        <v>0</v>
      </c>
      <c r="C22" s="32" t="str" cm="1">
        <f t="array" ref="C22">IF(B22=0,"",SUM(B$2:B22))</f>
        <v/>
      </c>
      <c r="D22" s="32" t="str" cm="1">
        <f t="array" ref="D22">IF(COUNTIF(Invullijst!C1:C57,A22)&gt;=1,"",A22)</f>
        <v/>
      </c>
      <c r="E22" s="33">
        <v>21</v>
      </c>
      <c r="F22" s="32" t="str" cm="1">
        <f t="array" ref="F22">IFERROR(VLOOKUP(E22,$C$2:$D$49,2,0),"")</f>
        <v/>
      </c>
    </row>
    <row r="23" spans="1:6" ht="14.1" customHeight="1" x14ac:dyDescent="0.15">
      <c r="A23" s="31" t="s">
        <v>34</v>
      </c>
      <c r="B23" s="33" cm="1">
        <f t="array" ref="B23">IF(D23="",0,1)</f>
        <v>0</v>
      </c>
      <c r="C23" s="32" t="str" cm="1">
        <f t="array" ref="C23">IF(B23=0,"",SUM(B$2:B23))</f>
        <v/>
      </c>
      <c r="D23" s="32" t="str" cm="1">
        <f t="array" ref="D23">IF(COUNTIF(Invullijst!C1:C57,A23)&gt;=1,"",A23)</f>
        <v/>
      </c>
      <c r="E23" s="33">
        <v>22</v>
      </c>
      <c r="F23" s="32" t="str" cm="1">
        <f t="array" ref="F23">IFERROR(VLOOKUP(E23,$C$2:$D$49,2,0),"")</f>
        <v/>
      </c>
    </row>
    <row r="24" spans="1:6" ht="14.1" customHeight="1" x14ac:dyDescent="0.15">
      <c r="A24" s="31" t="s">
        <v>33</v>
      </c>
      <c r="B24" s="33" cm="1">
        <f t="array" ref="B24">IF(D24="",0,1)</f>
        <v>0</v>
      </c>
      <c r="C24" s="32" t="str" cm="1">
        <f t="array" ref="C24">IF(B24=0,"",SUM(B$2:B24))</f>
        <v/>
      </c>
      <c r="D24" s="32" t="str" cm="1">
        <f t="array" ref="D24">IF(COUNTIF(Invullijst!C1:C57,A24)&gt;=1,"",A24)</f>
        <v/>
      </c>
      <c r="E24" s="33">
        <v>23</v>
      </c>
      <c r="F24" s="32" t="str" cm="1">
        <f t="array" ref="F24">IFERROR(VLOOKUP(E24,$C$2:$D$49,2,0),"")</f>
        <v/>
      </c>
    </row>
    <row r="25" spans="1:6" ht="14.1" customHeight="1" x14ac:dyDescent="0.15">
      <c r="A25" s="31" t="s">
        <v>53</v>
      </c>
      <c r="B25" s="33" cm="1">
        <f t="array" ref="B25">IF(D25="",0,1)</f>
        <v>0</v>
      </c>
      <c r="C25" s="32" t="str" cm="1">
        <f t="array" ref="C25">IF(B25=0,"",SUM(B$2:B25))</f>
        <v/>
      </c>
      <c r="D25" s="32" t="str" cm="1">
        <f t="array" ref="D25">IF(COUNTIF(Invullijst!C1:C57,A25)&gt;=1,"",A25)</f>
        <v/>
      </c>
      <c r="E25" s="33">
        <v>24</v>
      </c>
      <c r="F25" s="32" t="str" cm="1">
        <f t="array" ref="F25">IFERROR(VLOOKUP(E25,$C$2:$D$49,2,0),"")</f>
        <v/>
      </c>
    </row>
    <row r="26" spans="1:6" ht="14.1" customHeight="1" x14ac:dyDescent="0.15">
      <c r="A26" s="31" t="s">
        <v>32</v>
      </c>
      <c r="B26" s="33" cm="1">
        <f t="array" ref="B26">IF(D26="",0,1)</f>
        <v>0</v>
      </c>
      <c r="C26" s="32" t="str" cm="1">
        <f t="array" ref="C26">IF(B26=0,"",SUM(B$2:B26))</f>
        <v/>
      </c>
      <c r="D26" s="32" t="str" cm="1">
        <f t="array" ref="D26">IF(COUNTIF(Invullijst!C1:C57,A26)&gt;=1,"",A26)</f>
        <v/>
      </c>
      <c r="E26" s="33">
        <v>25</v>
      </c>
      <c r="F26" s="32" t="str" cm="1">
        <f t="array" ref="F26">IFERROR(VLOOKUP(E26,$C$2:$D$49,2,0),"")</f>
        <v/>
      </c>
    </row>
    <row r="27" spans="1:6" ht="14.1" customHeight="1" x14ac:dyDescent="0.15">
      <c r="A27" s="31" t="s">
        <v>56</v>
      </c>
      <c r="B27" s="33" cm="1">
        <f t="array" ref="B27">IF(D27="",0,1)</f>
        <v>0</v>
      </c>
      <c r="C27" s="32" t="str" cm="1">
        <f t="array" ref="C27">IF(B27=0,"",SUM(B$2:B27))</f>
        <v/>
      </c>
      <c r="D27" s="32" t="str" cm="1">
        <f t="array" ref="D27">IF(COUNTIF(Invullijst!C1:C57,A27)&gt;=1,"",A27)</f>
        <v/>
      </c>
      <c r="E27" s="33">
        <v>26</v>
      </c>
      <c r="F27" s="32" t="str" cm="1">
        <f t="array" ref="F27">IFERROR(VLOOKUP(E27,$C$2:$D$49,2,0),"")</f>
        <v/>
      </c>
    </row>
    <row r="28" spans="1:6" ht="14.1" customHeight="1" x14ac:dyDescent="0.15">
      <c r="A28" s="31" t="s">
        <v>28</v>
      </c>
      <c r="B28" s="33" cm="1">
        <f t="array" ref="B28">IF(D28="",0,1)</f>
        <v>0</v>
      </c>
      <c r="C28" s="32" t="str" cm="1">
        <f t="array" ref="C28">IF(B28=0,"",SUM(B$2:B28))</f>
        <v/>
      </c>
      <c r="D28" s="32" t="str" cm="1">
        <f t="array" ref="D28">IF(COUNTIF(Invullijst!C1:C57,A28)&gt;=1,"",A28)</f>
        <v/>
      </c>
      <c r="E28" s="33">
        <v>27</v>
      </c>
      <c r="F28" s="32" t="str" cm="1">
        <f t="array" ref="F28">IFERROR(VLOOKUP(E28,$C$2:$D$49,2,0),"")</f>
        <v/>
      </c>
    </row>
    <row r="29" spans="1:6" ht="14.1" customHeight="1" x14ac:dyDescent="0.15">
      <c r="A29" s="31" t="s">
        <v>29</v>
      </c>
      <c r="B29" s="33" cm="1">
        <f t="array" ref="B29">IF(D29="",0,1)</f>
        <v>0</v>
      </c>
      <c r="C29" s="32" t="str" cm="1">
        <f t="array" ref="C29">IF(B29=0,"",SUM(B$2:B29))</f>
        <v/>
      </c>
      <c r="D29" s="32" t="str" cm="1">
        <f t="array" ref="D29">IF(COUNTIF(Invullijst!C1:C57,A29)&gt;=1,"",A29)</f>
        <v/>
      </c>
      <c r="E29" s="33">
        <v>28</v>
      </c>
      <c r="F29" s="32" t="str" cm="1">
        <f t="array" ref="F29">IFERROR(VLOOKUP(E29,$C$2:$D$49,2,0),"")</f>
        <v/>
      </c>
    </row>
    <row r="30" spans="1:6" ht="14.1" customHeight="1" x14ac:dyDescent="0.15">
      <c r="A30" s="31" t="s">
        <v>31</v>
      </c>
      <c r="B30" s="33" cm="1">
        <f t="array" ref="B30">IF(D30="",0,1)</f>
        <v>0</v>
      </c>
      <c r="C30" s="32" t="str" cm="1">
        <f t="array" ref="C30">IF(B30=0,"",SUM(B$2:B30))</f>
        <v/>
      </c>
      <c r="D30" s="32" t="str" cm="1">
        <f t="array" ref="D30">IF(COUNTIF(Invullijst!C1:C57,A30)&gt;=1,"",A30)</f>
        <v/>
      </c>
      <c r="E30" s="33">
        <v>29</v>
      </c>
      <c r="F30" s="32" t="str" cm="1">
        <f t="array" ref="F30">IFERROR(VLOOKUP(E30,$C$2:$D$49,2,0),"")</f>
        <v/>
      </c>
    </row>
    <row r="31" spans="1:6" ht="14.1" customHeight="1" x14ac:dyDescent="0.15">
      <c r="A31" s="31" t="s">
        <v>27</v>
      </c>
      <c r="B31" s="33" cm="1">
        <f t="array" ref="B31">IF(D31="",0,1)</f>
        <v>0</v>
      </c>
      <c r="C31" s="32" t="str" cm="1">
        <f t="array" ref="C31">IF(B31=0,"",SUM(B$2:B31))</f>
        <v/>
      </c>
      <c r="D31" s="32" t="str" cm="1">
        <f t="array" ref="D31">IF(COUNTIF(Invullijst!C1:C57,A31)&gt;=1,"",A31)</f>
        <v/>
      </c>
      <c r="E31" s="33">
        <v>30</v>
      </c>
      <c r="F31" s="32" t="str" cm="1">
        <f t="array" ref="F31">IFERROR(VLOOKUP(E31,$C$2:$D$49,2,0),"")</f>
        <v/>
      </c>
    </row>
    <row r="32" spans="1:6" ht="14.1" customHeight="1" x14ac:dyDescent="0.15">
      <c r="A32" s="31" t="s">
        <v>30</v>
      </c>
      <c r="B32" s="33" cm="1">
        <f t="array" ref="B32">IF(D32="",0,1)</f>
        <v>0</v>
      </c>
      <c r="C32" s="32" t="str" cm="1">
        <f t="array" ref="C32">IF(B32=0,"",SUM(B$2:B32))</f>
        <v/>
      </c>
      <c r="D32" s="32" t="str" cm="1">
        <f t="array" ref="D32">IF(COUNTIF(Invullijst!C1:C57,A32)&gt;=1,"",A32)</f>
        <v/>
      </c>
      <c r="E32" s="33">
        <v>31</v>
      </c>
      <c r="F32" s="32" t="str" cm="1">
        <f t="array" ref="F32">IFERROR(VLOOKUP(E32,$C$2:$D$49,2,0),"")</f>
        <v/>
      </c>
    </row>
    <row r="33" spans="1:6" ht="14.1" customHeight="1" x14ac:dyDescent="0.15">
      <c r="A33" s="31" t="s">
        <v>26</v>
      </c>
      <c r="B33" s="33" cm="1">
        <f t="array" ref="B33">IF(D33="",0,1)</f>
        <v>0</v>
      </c>
      <c r="C33" s="32" t="str" cm="1">
        <f t="array" ref="C33">IF(B33=0,"",SUM(B$2:B33))</f>
        <v/>
      </c>
      <c r="D33" s="32" t="str" cm="1">
        <f t="array" ref="D33">IF(COUNTIF(Invullijst!C1:C57,A33)&gt;=1,"",A33)</f>
        <v/>
      </c>
      <c r="E33" s="33">
        <v>32</v>
      </c>
      <c r="F33" s="32" t="str" cm="1">
        <f t="array" ref="F33">IFERROR(VLOOKUP(E33,$C$2:$D$49,2,0),"")</f>
        <v/>
      </c>
    </row>
    <row r="34" spans="1:6" ht="14.1" customHeight="1" x14ac:dyDescent="0.15">
      <c r="A34" s="31" t="s">
        <v>24</v>
      </c>
      <c r="B34" s="33" cm="1">
        <f t="array" ref="B34">IF(D34="",0,1)</f>
        <v>0</v>
      </c>
      <c r="C34" s="32" t="str" cm="1">
        <f t="array" ref="C34">IF(B34=0,"",SUM(B$2:B34))</f>
        <v/>
      </c>
      <c r="D34" s="32" t="str" cm="1">
        <f t="array" ref="D34">IF(COUNTIF(Invullijst!C1:C57,A34)&gt;=1,"",A34)</f>
        <v/>
      </c>
      <c r="E34" s="33">
        <v>33</v>
      </c>
      <c r="F34" s="32" t="str" cm="1">
        <f t="array" ref="F34">IFERROR(VLOOKUP(E34,$C$2:$D$49,2,0),"")</f>
        <v/>
      </c>
    </row>
    <row r="35" spans="1:6" ht="14.1" customHeight="1" x14ac:dyDescent="0.15">
      <c r="A35" s="31" t="s">
        <v>35</v>
      </c>
      <c r="B35" s="33" cm="1">
        <f t="array" ref="B35">IF(D35="",0,1)</f>
        <v>0</v>
      </c>
      <c r="C35" s="32" t="str" cm="1">
        <f t="array" ref="C35">IF(B35=0,"",SUM(B$2:B35))</f>
        <v/>
      </c>
      <c r="D35" s="32" t="str" cm="1">
        <f t="array" ref="D35">IF(COUNTIF(Invullijst!C1:C57,A35)&gt;=1,"",A35)</f>
        <v/>
      </c>
      <c r="E35" s="33">
        <v>34</v>
      </c>
      <c r="F35" s="32" t="str" cm="1">
        <f t="array" ref="F35">IFERROR(VLOOKUP(E35,$C$2:$D$49,2,0),"")</f>
        <v/>
      </c>
    </row>
    <row r="36" spans="1:6" ht="14.1" customHeight="1" x14ac:dyDescent="0.15">
      <c r="A36" s="31" t="s">
        <v>23</v>
      </c>
      <c r="B36" s="33" cm="1">
        <f t="array" ref="B36">IF(D36="",0,1)</f>
        <v>0</v>
      </c>
      <c r="C36" s="32" t="str" cm="1">
        <f t="array" ref="C36">IF(B36=0,"",SUM(B$2:B36))</f>
        <v/>
      </c>
      <c r="D36" s="32" t="str" cm="1">
        <f t="array" ref="D36">IF(COUNTIF(Invullijst!C1:C57,A36)&gt;=1,"",A36)</f>
        <v/>
      </c>
      <c r="E36" s="33">
        <v>35</v>
      </c>
      <c r="F36" s="32" t="str" cm="1">
        <f t="array" ref="F36">IFERROR(VLOOKUP(E36,$C$2:$D$49,2,0),"")</f>
        <v/>
      </c>
    </row>
    <row r="37" spans="1:6" ht="14.1" customHeight="1" x14ac:dyDescent="0.15">
      <c r="A37" s="31" t="s">
        <v>59</v>
      </c>
      <c r="B37" s="33" cm="1">
        <f t="array" ref="B37">IF(D37="",0,1)</f>
        <v>0</v>
      </c>
      <c r="C37" s="32" t="str" cm="1">
        <f t="array" ref="C37">IF(B37=0,"",SUM(B$2:B37))</f>
        <v/>
      </c>
      <c r="D37" s="32" t="str" cm="1">
        <f t="array" ref="D37">IF(COUNTIF(Invullijst!C1:C57,A37)&gt;=1,"",A37)</f>
        <v/>
      </c>
      <c r="E37" s="33">
        <v>36</v>
      </c>
      <c r="F37" s="32" t="str" cm="1">
        <f t="array" ref="F37">IFERROR(VLOOKUP(E37,$C$2:$D$49,2,0),"")</f>
        <v/>
      </c>
    </row>
    <row r="38" spans="1:6" ht="14.1" customHeight="1" x14ac:dyDescent="0.15">
      <c r="A38" s="31" t="s">
        <v>15</v>
      </c>
      <c r="B38" s="33" cm="1">
        <f t="array" ref="B38">IF(D38="",0,1)</f>
        <v>0</v>
      </c>
      <c r="C38" s="32" t="str" cm="1">
        <f t="array" ref="C38">IF(B38=0,"",SUM(B$2:B38))</f>
        <v/>
      </c>
      <c r="D38" s="32" t="str" cm="1">
        <f t="array" ref="D38">IF(COUNTIF(Invullijst!C1:C57,A38)&gt;=1,"",A38)</f>
        <v/>
      </c>
      <c r="E38" s="33">
        <v>37</v>
      </c>
      <c r="F38" s="32" t="str" cm="1">
        <f t="array" ref="F38">IFERROR(VLOOKUP(E38,$C$2:$D$49,2,0),"")</f>
        <v/>
      </c>
    </row>
    <row r="39" spans="1:6" ht="14.1" customHeight="1" x14ac:dyDescent="0.15">
      <c r="A39" s="31" t="s">
        <v>18</v>
      </c>
      <c r="B39" s="33" cm="1">
        <f t="array" ref="B39">IF(D39="",0,1)</f>
        <v>0</v>
      </c>
      <c r="C39" s="32" t="str" cm="1">
        <f t="array" ref="C39">IF(B39=0,"",SUM(B$2:B39))</f>
        <v/>
      </c>
      <c r="D39" s="32" t="str" cm="1">
        <f t="array" ref="D39">IF(COUNTIF(Invullijst!C1:C57,A39)&gt;=1,"",A39)</f>
        <v/>
      </c>
      <c r="E39" s="33">
        <v>38</v>
      </c>
      <c r="F39" s="32" t="str" cm="1">
        <f t="array" ref="F39">IFERROR(VLOOKUP(E39,$C$2:$D$49,2,0),"")</f>
        <v/>
      </c>
    </row>
    <row r="40" spans="1:6" ht="14.1" customHeight="1" x14ac:dyDescent="0.15">
      <c r="A40" s="31" t="s">
        <v>20</v>
      </c>
      <c r="B40" s="33" cm="1">
        <f t="array" ref="B40">IF(D40="",0,1)</f>
        <v>0</v>
      </c>
      <c r="C40" s="32" t="str" cm="1">
        <f t="array" ref="C40">IF(B40=0,"",SUM(B$2:B40))</f>
        <v/>
      </c>
      <c r="D40" s="32" t="str" cm="1">
        <f t="array" ref="D40">IF(COUNTIF(Invullijst!C1:C57,A40)&gt;=1,"",A40)</f>
        <v/>
      </c>
      <c r="E40" s="33">
        <v>39</v>
      </c>
      <c r="F40" s="32" t="str" cm="1">
        <f t="array" ref="F40">IFERROR(VLOOKUP(E40,$C$2:$D$49,2,0),"")</f>
        <v/>
      </c>
    </row>
    <row r="41" spans="1:6" ht="14.1" customHeight="1" x14ac:dyDescent="0.15">
      <c r="A41" s="31" t="s">
        <v>21</v>
      </c>
      <c r="B41" s="33" cm="1">
        <f t="array" ref="B41">IF(D41="",0,1)</f>
        <v>0</v>
      </c>
      <c r="C41" s="32" t="str" cm="1">
        <f t="array" ref="C41">IF(B41=0,"",SUM(B$2:B41))</f>
        <v/>
      </c>
      <c r="D41" s="32" t="str" cm="1">
        <f t="array" ref="D41">IF(COUNTIF(Invullijst!C1:C57,A41)&gt;=1,"",A41)</f>
        <v/>
      </c>
      <c r="E41" s="33">
        <v>40</v>
      </c>
      <c r="F41" s="32" t="str" cm="1">
        <f t="array" ref="F41">IFERROR(VLOOKUP(E41,$C$2:$D$49,2,0),"")</f>
        <v/>
      </c>
    </row>
    <row r="42" spans="1:6" ht="14.1" customHeight="1" x14ac:dyDescent="0.15">
      <c r="A42" s="31" t="s">
        <v>12</v>
      </c>
      <c r="B42" s="33" cm="1">
        <f t="array" ref="B42">IF(D42="",0,1)</f>
        <v>0</v>
      </c>
      <c r="C42" s="32" t="str" cm="1">
        <f t="array" ref="C42">IF(B42=0,"",SUM(B$2:B42))</f>
        <v/>
      </c>
      <c r="D42" s="32" t="str" cm="1">
        <f t="array" ref="D42">IF(COUNTIF(Invullijst!C1:C57,A42)&gt;=1,"",A42)</f>
        <v/>
      </c>
      <c r="E42" s="33">
        <v>41</v>
      </c>
      <c r="F42" s="32" t="str" cm="1">
        <f t="array" ref="F42">IFERROR(VLOOKUP(E42,$C$2:$D$49,2,0),"")</f>
        <v/>
      </c>
    </row>
    <row r="43" spans="1:6" ht="14.1" customHeight="1" x14ac:dyDescent="0.15">
      <c r="A43" s="31" t="s">
        <v>22</v>
      </c>
      <c r="B43" s="33" cm="1">
        <f t="array" ref="B43">IF(D43="",0,1)</f>
        <v>0</v>
      </c>
      <c r="C43" s="32" t="str" cm="1">
        <f t="array" ref="C43">IF(B43=0,"",SUM(B$2:B43))</f>
        <v/>
      </c>
      <c r="D43" s="32" t="str" cm="1">
        <f t="array" ref="D43">IF(COUNTIF(Invullijst!C1:C57,A43)&gt;=1,"",A43)</f>
        <v/>
      </c>
      <c r="E43" s="33">
        <v>42</v>
      </c>
      <c r="F43" s="32" t="str" cm="1">
        <f t="array" ref="F43">IFERROR(VLOOKUP(E43,$C$2:$D$49,2,0),"")</f>
        <v/>
      </c>
    </row>
    <row r="44" spans="1:6" ht="14.1" customHeight="1" x14ac:dyDescent="0.15">
      <c r="A44" s="31" t="s">
        <v>25</v>
      </c>
      <c r="B44" s="33" cm="1">
        <f t="array" ref="B44">IF(D44="",0,1)</f>
        <v>0</v>
      </c>
      <c r="C44" s="32" t="str" cm="1">
        <f t="array" ref="C44">IF(B44=0,"",SUM(B$2:B44))</f>
        <v/>
      </c>
      <c r="D44" s="32" t="str" cm="1">
        <f t="array" ref="D44">IF(COUNTIF(Invullijst!C1:C57,A44)&gt;=1,"",A44)</f>
        <v/>
      </c>
      <c r="E44" s="33">
        <v>43</v>
      </c>
      <c r="F44" s="32" t="str" cm="1">
        <f t="array" ref="F44">IFERROR(VLOOKUP(E44,$C$2:$D$49,2,0),"")</f>
        <v/>
      </c>
    </row>
    <row r="45" spans="1:6" ht="14.1" customHeight="1" x14ac:dyDescent="0.15">
      <c r="A45" s="31" t="s">
        <v>36</v>
      </c>
      <c r="B45" s="33" cm="1">
        <f t="array" ref="B45">IF(D45="",0,1)</f>
        <v>0</v>
      </c>
      <c r="C45" s="32" t="str" cm="1">
        <f t="array" ref="C45">IF(B45=0,"",SUM(B$2:B45))</f>
        <v/>
      </c>
      <c r="D45" s="32" t="str" cm="1">
        <f t="array" ref="D45">IF(COUNTIF(Invullijst!C1:C57,A45)&gt;=1,"",A45)</f>
        <v/>
      </c>
      <c r="E45" s="33">
        <v>44</v>
      </c>
      <c r="F45" s="32" t="str" cm="1">
        <f t="array" ref="F45">IFERROR(VLOOKUP(E45,$C$2:$D$49,2,0),"")</f>
        <v/>
      </c>
    </row>
    <row r="46" spans="1:6" ht="14.1" customHeight="1" x14ac:dyDescent="0.15">
      <c r="A46" s="31" t="s">
        <v>10</v>
      </c>
      <c r="B46" s="33" cm="1">
        <f t="array" ref="B46">IF(D46="",0,1)</f>
        <v>0</v>
      </c>
      <c r="C46" s="32" t="str" cm="1">
        <f t="array" ref="C46">IF(B46=0,"",SUM(B$2:B46))</f>
        <v/>
      </c>
      <c r="D46" s="32" t="str" cm="1">
        <f t="array" ref="D46">IF(COUNTIF(Invullijst!C1:C57,A46)&gt;=1,"",A46)</f>
        <v/>
      </c>
      <c r="E46" s="33">
        <v>45</v>
      </c>
      <c r="F46" s="32" t="str" cm="1">
        <f t="array" ref="F46">IFERROR(VLOOKUP(E46,$C$2:$D$49,2,0),"")</f>
        <v/>
      </c>
    </row>
    <row r="47" spans="1:6" ht="14.1" customHeight="1" x14ac:dyDescent="0.15">
      <c r="A47" s="31" t="s">
        <v>37</v>
      </c>
      <c r="B47" s="33" cm="1">
        <f t="array" ref="B47">IF(D47="",0,1)</f>
        <v>0</v>
      </c>
      <c r="C47" s="32" t="str" cm="1">
        <f t="array" ref="C47">IF(B47=0,"",SUM(B$2:B47))</f>
        <v/>
      </c>
      <c r="D47" s="32" t="str" cm="1">
        <f t="array" ref="D47">IF(COUNTIF(Invullijst!C1:C57,A47)&gt;=1,"",A47)</f>
        <v/>
      </c>
      <c r="E47" s="33">
        <v>46</v>
      </c>
      <c r="F47" s="32" t="str" cm="1">
        <f t="array" ref="F47">IFERROR(VLOOKUP(E47,$C$2:$D$49,2,0),"")</f>
        <v/>
      </c>
    </row>
    <row r="48" spans="1:6" ht="14.1" customHeight="1" x14ac:dyDescent="0.15">
      <c r="A48" s="31" t="s">
        <v>61</v>
      </c>
      <c r="B48" s="33" cm="1">
        <f t="array" ref="B48">IF(D48="",0,1)</f>
        <v>0</v>
      </c>
      <c r="C48" s="32" t="str" cm="1">
        <f t="array" ref="C48">IF(B48=0,"",SUM(B$2:B48))</f>
        <v/>
      </c>
      <c r="D48" s="32" t="str" cm="1">
        <f t="array" ref="D48">IF(COUNTIF(Invullijst!C1:C57,A48)&gt;=1,"",A48)</f>
        <v/>
      </c>
      <c r="E48" s="33">
        <v>47</v>
      </c>
      <c r="F48" s="32" t="str" cm="1">
        <f t="array" ref="F48">IFERROR(VLOOKUP(E48,$C$2:$D$49,2,0),"")</f>
        <v/>
      </c>
    </row>
    <row r="49" spans="1:6" ht="14.1" customHeight="1" x14ac:dyDescent="0.15">
      <c r="A49" s="31" t="s">
        <v>62</v>
      </c>
      <c r="B49" s="33" cm="1">
        <f t="array" ref="B49">IF(D49="",0,1)</f>
        <v>0</v>
      </c>
      <c r="C49" s="32" t="str" cm="1">
        <f t="array" ref="C49">IF(B49=0,"",SUM(B$2:B49))</f>
        <v/>
      </c>
      <c r="D49" s="32" t="str" cm="1">
        <f t="array" ref="D49">IF(COUNTIF(Invullijst!C1:C57,A49)&gt;=1,"",A49)</f>
        <v/>
      </c>
      <c r="E49" s="33">
        <v>48</v>
      </c>
      <c r="F49" s="32" t="str" cm="1">
        <f t="array" ref="F49">IFERROR(VLOOKUP(E49,$C$2:$D$49,2,0),"")</f>
        <v/>
      </c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Invullijst</vt:lpstr>
      <vt:lpstr>Landen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Vries, Roel de</cp:lastModifiedBy>
  <dcterms:modified xsi:type="dcterms:W3CDTF">2026-06-08T17:07:26Z</dcterms:modified>
</cp:coreProperties>
</file>