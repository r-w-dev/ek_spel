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ullijst" sheetId="1" state="visible" r:id="rId3"/>
    <sheet name="Landen" sheetId="2" state="visible" r:id="rId4"/>
  </sheets>
  <definedNames>
    <definedName function="false" hidden="true" localSheetId="1" name="_xlnm._FilterDatabase" vbProcedure="false">Landen!$A$1:$F$25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<sst xmlns="http://schemas.openxmlformats.org/spreadsheetml/2006/main" count="62" uniqueCount="61">
  <si>
    <t xml:space="preserve">INVULLIJST WK2026</t>
  </si>
  <si>
    <t xml:space="preserve">Let op: U moet het dropdown-menu gebruiken waarmee landen geselecteerd kunnen worden!</t>
  </si>
  <si>
    <t xml:space="preserve">Deze lijst mag vervolgens verstuurd worden naar lagerweykevin@hotmail.com of tychoberndt@hotmail.com</t>
  </si>
  <si>
    <t xml:space="preserve">Plaats</t>
  </si>
  <si>
    <t xml:space="preserve">Land</t>
  </si>
  <si>
    <t xml:space="preserve">Waarde</t>
  </si>
  <si>
    <t xml:space="preserve">Bonusvragen</t>
  </si>
  <si>
    <t xml:space="preserve">Antwoord</t>
  </si>
  <si>
    <t xml:space="preserve">Aantal gele kaarten</t>
  </si>
  <si>
    <t xml:space="preserve">Aantal rode kaarten </t>
  </si>
  <si>
    <t xml:space="preserve">Aantal doelpunten</t>
  </si>
  <si>
    <t xml:space="preserve">Topscoorder WK2026</t>
  </si>
  <si>
    <t xml:space="preserve">Wout Weghorst</t>
  </si>
  <si>
    <t xml:space="preserve">Algerije</t>
  </si>
  <si>
    <t xml:space="preserve">Argentinië</t>
  </si>
  <si>
    <t xml:space="preserve">Australië</t>
  </si>
  <si>
    <t xml:space="preserve">België</t>
  </si>
  <si>
    <t xml:space="preserve">Bosnië en Herzegovina</t>
  </si>
  <si>
    <t xml:space="preserve">Brazilië</t>
  </si>
  <si>
    <t xml:space="preserve">Canada</t>
  </si>
  <si>
    <t xml:space="preserve">Colombia</t>
  </si>
  <si>
    <t xml:space="preserve">Congo</t>
  </si>
  <si>
    <t xml:space="preserve">Curaçao</t>
  </si>
  <si>
    <t xml:space="preserve">Duitsland</t>
  </si>
  <si>
    <t xml:space="preserve">Ecuador</t>
  </si>
  <si>
    <t xml:space="preserve">Egypte</t>
  </si>
  <si>
    <t xml:space="preserve">Engeland</t>
  </si>
  <si>
    <t xml:space="preserve">Frankrijk</t>
  </si>
  <si>
    <t xml:space="preserve">Ghana</t>
  </si>
  <si>
    <t xml:space="preserve">Haïti</t>
  </si>
  <si>
    <t xml:space="preserve">Irak</t>
  </si>
  <si>
    <t xml:space="preserve">Iran</t>
  </si>
  <si>
    <t xml:space="preserve">Ivoorkust</t>
  </si>
  <si>
    <t xml:space="preserve">Japan</t>
  </si>
  <si>
    <t xml:space="preserve">Jordanië</t>
  </si>
  <si>
    <t xml:space="preserve">Kaapverdië</t>
  </si>
  <si>
    <t xml:space="preserve">Kroatië</t>
  </si>
  <si>
    <t xml:space="preserve">Marokko</t>
  </si>
  <si>
    <t xml:space="preserve">Mexico</t>
  </si>
  <si>
    <t xml:space="preserve">Nederland</t>
  </si>
  <si>
    <t xml:space="preserve">Nieuw-Zeeland</t>
  </si>
  <si>
    <t xml:space="preserve">Noorwegen</t>
  </si>
  <si>
    <t xml:space="preserve">Oezbekistan</t>
  </si>
  <si>
    <t xml:space="preserve">Oostenrijk</t>
  </si>
  <si>
    <t xml:space="preserve">Panama</t>
  </si>
  <si>
    <t xml:space="preserve">Paraguay</t>
  </si>
  <si>
    <t xml:space="preserve">Portugal</t>
  </si>
  <si>
    <t xml:space="preserve">Qatar</t>
  </si>
  <si>
    <t xml:space="preserve">Saoedi-Arabië</t>
  </si>
  <si>
    <t xml:space="preserve">Schotland</t>
  </si>
  <si>
    <t xml:space="preserve">Senegal</t>
  </si>
  <si>
    <t xml:space="preserve">Spanje</t>
  </si>
  <si>
    <t xml:space="preserve">Tsjechië</t>
  </si>
  <si>
    <t xml:space="preserve">Tunesië</t>
  </si>
  <si>
    <t xml:space="preserve">Turkije</t>
  </si>
  <si>
    <t xml:space="preserve">Uruguay</t>
  </si>
  <si>
    <t xml:space="preserve">Verenigde Staten</t>
  </si>
  <si>
    <t xml:space="preserve">Zuid-Afrika</t>
  </si>
  <si>
    <t xml:space="preserve">Zuid-Korea</t>
  </si>
  <si>
    <t xml:space="preserve">Zweden</t>
  </si>
  <si>
    <t xml:space="preserve">Zwitserland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</si>
</sst>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9"/>
      <color theme="1"/>
      <name val="Verdana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theme="1"/>
      <name val="Verdana"/>
      <family val="2"/>
      <charset val="1"/>
    </font>
    <font>
      <b val="true"/>
      <sz val="11"/>
      <color theme="1"/>
      <name val="Verdana"/>
      <family val="2"/>
      <charset val="1"/>
    </font>
    <font>
      <b val="true"/>
      <sz val="9"/>
      <color theme="1"/>
      <name val="Verdana"/>
      <family val="2"/>
      <charset val="1"/>
    </font>
    <font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4" tint="0.3998"/>
        <bgColor rgb="FFC0C0C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Kantoorthema">
  <a:themeElements>
    <a:clrScheme name="Kantoor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9.00390625" defaultRowHeight="11.25" customHeight="false" zeroHeight="false" outlineLevelRow="0" outlineLevelCol="0"/>
  <cols>
    <col collapsed="false" customWidth="true" hidden="false" outlineLevel="0" max="1" min="1" style="1" width="3.88"/>
    <col collapsed="false" customWidth="false" hidden="false" outlineLevel="0" max="2" min="2" style="1" width="9"/>
    <col collapsed="false" customWidth="true" hidden="false" outlineLevel="0" max="3" min="3" style="1" width="19.38"/>
    <col collapsed="false" customWidth="false" hidden="false" outlineLevel="0" max="5" min="4" style="1" width="9"/>
    <col collapsed="false" customWidth="true" hidden="false" outlineLevel="0" max="6" min="6" style="1" width="25.25"/>
    <col collapsed="false" customWidth="true" hidden="false" outlineLevel="0" max="7" min="7" style="1" width="17.26"/>
    <col collapsed="false" customWidth="false" hidden="false" outlineLevel="0" max="16384" min="8" style="1" width="9"/>
  </cols>
  <sheetData>
    <row r="1" customFormat="false" ht="48.75" hidden="false" customHeight="true" outlineLevel="0" collapsed="false">
      <c r="B1" s="2" t="s">
        <v>0</v>
      </c>
    </row>
    <row r="2" customFormat="false" ht="15.75" hidden="false" customHeight="true" outlineLevel="0" collapsed="false"/>
    <row r="3" customFormat="false" ht="15.75" hidden="false" customHeight="true" outlineLevel="0" collapsed="false">
      <c r="B3" s="3" t="s">
        <v>1</v>
      </c>
    </row>
    <row r="4" customFormat="false" ht="18.75" hidden="false" customHeight="true" outlineLevel="0" collapsed="false">
      <c r="B4" s="3" t="s">
        <v>2</v>
      </c>
    </row>
    <row r="5" customFormat="false" ht="13.5" hidden="false" customHeight="true" outlineLevel="0" collapsed="false">
      <c r="B5" s="3"/>
    </row>
    <row r="6" customFormat="false" ht="11.45" hidden="false" customHeight="false" outlineLevel="0" collapsed="false"/>
    <row r="7" customFormat="false" ht="21" hidden="false" customHeight="true" outlineLevel="0" collapsed="false">
      <c r="B7" s="4" t="s">
        <v>3</v>
      </c>
      <c r="C7" s="5" t="s">
        <v>4</v>
      </c>
      <c r="D7" s="6" t="s">
        <v>5</v>
      </c>
      <c r="E7" s="7"/>
      <c r="F7" s="8" t="s">
        <v>6</v>
      </c>
      <c r="G7" s="6" t="s">
        <v>7</v>
      </c>
    </row>
    <row r="8" customFormat="false" ht="11.45" hidden="false" customHeight="false" outlineLevel="0" collapsed="false">
      <c r="B8" s="9" t="n">
        <v>1</v>
      </c>
      <c r="C8" s="10"/>
      <c r="D8" s="11" t="n">
        <v>120</v>
      </c>
      <c r="F8" s="12" t="s">
        <v>8</v>
      </c>
      <c r="G8" s="12" t="n">
        <v>100</v>
      </c>
    </row>
    <row r="9" customFormat="false" ht="11.45" hidden="false" customHeight="false" outlineLevel="0" collapsed="false">
      <c r="B9" s="9" t="n">
        <v>2</v>
      </c>
      <c r="C9" s="10"/>
      <c r="D9" s="11" t="n">
        <v>110</v>
      </c>
      <c r="F9" s="13" t="s">
        <v>9</v>
      </c>
      <c r="G9" s="10" t="n">
        <v>5</v>
      </c>
    </row>
    <row r="10" customFormat="false" ht="11.45" hidden="false" customHeight="false" outlineLevel="0" collapsed="false">
      <c r="B10" s="9" t="n">
        <v>3</v>
      </c>
      <c r="C10" s="10"/>
      <c r="D10" s="11" t="n">
        <v>100</v>
      </c>
      <c r="F10" s="10" t="s">
        <v>10</v>
      </c>
      <c r="G10" s="10" t="n">
        <v>74</v>
      </c>
    </row>
    <row r="11" customFormat="false" ht="11.45" hidden="false" customHeight="false" outlineLevel="0" collapsed="false">
      <c r="B11" s="9" t="n">
        <v>4</v>
      </c>
      <c r="C11" s="10"/>
      <c r="D11" s="11" t="n">
        <v>95</v>
      </c>
      <c r="F11" s="14" t="s">
        <v>11</v>
      </c>
      <c r="G11" s="14" t="s">
        <v>12</v>
      </c>
    </row>
    <row r="12" customFormat="false" ht="11.45" hidden="false" customHeight="false" outlineLevel="0" collapsed="false">
      <c r="B12" s="9" t="n">
        <v>5</v>
      </c>
      <c r="C12" s="10"/>
      <c r="D12" s="11" t="n">
        <v>90</v>
      </c>
    </row>
    <row r="13" customFormat="false" ht="11.45" hidden="false" customHeight="false" outlineLevel="0" collapsed="false">
      <c r="B13" s="9" t="n">
        <v>6</v>
      </c>
      <c r="C13" s="10"/>
      <c r="D13" s="11" t="n">
        <v>85</v>
      </c>
    </row>
    <row r="14" customFormat="false" ht="11.45" hidden="false" customHeight="false" outlineLevel="0" collapsed="false">
      <c r="B14" s="9" t="n">
        <v>7</v>
      </c>
      <c r="C14" s="10"/>
      <c r="D14" s="11" t="n">
        <v>80</v>
      </c>
    </row>
    <row r="15" customFormat="false" ht="11.45" hidden="false" customHeight="false" outlineLevel="0" collapsed="false">
      <c r="B15" s="9" t="n">
        <v>8</v>
      </c>
      <c r="C15" s="10"/>
      <c r="D15" s="11" t="n">
        <v>75</v>
      </c>
    </row>
    <row r="16" customFormat="false" ht="11.45" hidden="false" customHeight="false" outlineLevel="0" collapsed="false">
      <c r="B16" s="9" t="n">
        <v>9</v>
      </c>
      <c r="C16" s="10"/>
      <c r="D16" s="11" t="n">
        <v>70</v>
      </c>
    </row>
    <row r="17" customFormat="false" ht="11.45" hidden="false" customHeight="false" outlineLevel="0" collapsed="false">
      <c r="B17" s="9" t="n">
        <v>10</v>
      </c>
      <c r="C17" s="10"/>
      <c r="D17" s="11" t="n">
        <v>66</v>
      </c>
    </row>
    <row r="18" customFormat="false" ht="11.45" hidden="false" customHeight="false" outlineLevel="0" collapsed="false">
      <c r="B18" s="9" t="n">
        <v>11</v>
      </c>
      <c r="C18" s="10"/>
      <c r="D18" s="11" t="n">
        <v>62</v>
      </c>
    </row>
    <row r="19" customFormat="false" ht="11.45" hidden="false" customHeight="false" outlineLevel="0" collapsed="false">
      <c r="B19" s="9" t="n">
        <v>12</v>
      </c>
      <c r="C19" s="10"/>
      <c r="D19" s="11" t="n">
        <v>58</v>
      </c>
    </row>
    <row r="20" customFormat="false" ht="11.45" hidden="false" customHeight="false" outlineLevel="0" collapsed="false">
      <c r="B20" s="9" t="n">
        <v>13</v>
      </c>
      <c r="C20" s="10"/>
      <c r="D20" s="11" t="n">
        <v>55</v>
      </c>
    </row>
    <row r="21" customFormat="false" ht="11.45" hidden="false" customHeight="false" outlineLevel="0" collapsed="false">
      <c r="B21" s="9" t="n">
        <v>14</v>
      </c>
      <c r="C21" s="10"/>
      <c r="D21" s="11" t="n">
        <v>52</v>
      </c>
    </row>
    <row r="22" customFormat="false" ht="11.45" hidden="false" customHeight="false" outlineLevel="0" collapsed="false">
      <c r="B22" s="9" t="n">
        <v>15</v>
      </c>
      <c r="C22" s="10"/>
      <c r="D22" s="11" t="n">
        <v>49</v>
      </c>
    </row>
    <row r="23" customFormat="false" ht="11.45" hidden="false" customHeight="false" outlineLevel="0" collapsed="false">
      <c r="B23" s="9" t="n">
        <v>16</v>
      </c>
      <c r="C23" s="10"/>
      <c r="D23" s="11" t="n">
        <v>46</v>
      </c>
    </row>
    <row r="24" customFormat="false" ht="11.45" hidden="false" customHeight="false" outlineLevel="0" collapsed="false">
      <c r="B24" s="9" t="n">
        <v>17</v>
      </c>
      <c r="C24" s="10"/>
      <c r="D24" s="11" t="n">
        <v>43</v>
      </c>
    </row>
    <row r="25" customFormat="false" ht="11.45" hidden="false" customHeight="false" outlineLevel="0" collapsed="false">
      <c r="B25" s="9" t="n">
        <v>18</v>
      </c>
      <c r="C25" s="10"/>
      <c r="D25" s="11" t="n">
        <v>40</v>
      </c>
    </row>
    <row r="26" customFormat="false" ht="11.45" hidden="false" customHeight="false" outlineLevel="0" collapsed="false">
      <c r="B26" s="9" t="n">
        <v>19</v>
      </c>
      <c r="C26" s="10"/>
      <c r="D26" s="11" t="n">
        <v>38</v>
      </c>
    </row>
    <row r="27" customFormat="false" ht="11.45" hidden="false" customHeight="false" outlineLevel="0" collapsed="false">
      <c r="B27" s="9" t="n">
        <v>20</v>
      </c>
      <c r="C27" s="10"/>
      <c r="D27" s="11" t="n">
        <v>36</v>
      </c>
    </row>
    <row r="28" customFormat="false" ht="11.45" hidden="false" customHeight="false" outlineLevel="0" collapsed="false">
      <c r="B28" s="9" t="n">
        <v>21</v>
      </c>
      <c r="C28" s="10"/>
      <c r="D28" s="11" t="n">
        <v>34</v>
      </c>
    </row>
    <row r="29" customFormat="false" ht="11.45" hidden="false" customHeight="false" outlineLevel="0" collapsed="false">
      <c r="B29" s="9" t="n">
        <v>22</v>
      </c>
      <c r="C29" s="10"/>
      <c r="D29" s="11" t="n">
        <v>32</v>
      </c>
    </row>
    <row r="30" customFormat="false" ht="11.45" hidden="false" customHeight="false" outlineLevel="0" collapsed="false">
      <c r="B30" s="9" t="n">
        <v>23</v>
      </c>
      <c r="C30" s="10"/>
      <c r="D30" s="11" t="n">
        <v>30</v>
      </c>
    </row>
    <row r="31" customFormat="false" ht="11.45" hidden="false" customHeight="false" outlineLevel="0" collapsed="false">
      <c r="B31" s="10" t="n">
        <v>24</v>
      </c>
      <c r="C31" s="10"/>
      <c r="D31" s="11" t="n">
        <v>28</v>
      </c>
    </row>
    <row r="32" customFormat="false" ht="11.45" hidden="false" customHeight="false" outlineLevel="0" collapsed="false">
      <c r="B32" s="9" t="n">
        <v>25</v>
      </c>
      <c r="C32" s="10"/>
      <c r="D32" s="10" t="n">
        <v>26</v>
      </c>
    </row>
    <row r="33" customFormat="false" ht="11.45" hidden="false" customHeight="false" outlineLevel="0" collapsed="false">
      <c r="B33" s="9" t="n">
        <v>26</v>
      </c>
      <c r="C33" s="10"/>
      <c r="D33" s="11" t="n">
        <v>24</v>
      </c>
    </row>
    <row r="34" customFormat="false" ht="11.45" hidden="false" customHeight="false" outlineLevel="0" collapsed="false">
      <c r="B34" s="9" t="n">
        <v>27</v>
      </c>
      <c r="C34" s="10"/>
      <c r="D34" s="11" t="n">
        <v>22</v>
      </c>
    </row>
    <row r="35" customFormat="false" ht="11.45" hidden="false" customHeight="false" outlineLevel="0" collapsed="false">
      <c r="B35" s="9" t="n">
        <v>28</v>
      </c>
      <c r="C35" s="10"/>
      <c r="D35" s="11" t="n">
        <v>20</v>
      </c>
    </row>
    <row r="36" customFormat="false" ht="11.45" hidden="false" customHeight="false" outlineLevel="0" collapsed="false">
      <c r="B36" s="9" t="n">
        <v>29</v>
      </c>
      <c r="C36" s="10"/>
      <c r="D36" s="11" t="n">
        <v>19</v>
      </c>
    </row>
    <row r="37" customFormat="false" ht="11.45" hidden="false" customHeight="false" outlineLevel="0" collapsed="false">
      <c r="B37" s="9" t="n">
        <v>30</v>
      </c>
      <c r="C37" s="10"/>
      <c r="D37" s="11" t="n">
        <v>18</v>
      </c>
    </row>
    <row r="38" customFormat="false" ht="11.45" hidden="false" customHeight="false" outlineLevel="0" collapsed="false">
      <c r="B38" s="9" t="n">
        <v>31</v>
      </c>
      <c r="C38" s="10"/>
      <c r="D38" s="11" t="n">
        <v>17</v>
      </c>
    </row>
    <row r="39" customFormat="false" ht="11.45" hidden="false" customHeight="false" outlineLevel="0" collapsed="false">
      <c r="B39" s="9" t="n">
        <v>32</v>
      </c>
      <c r="C39" s="10"/>
      <c r="D39" s="11" t="n">
        <v>16</v>
      </c>
    </row>
    <row r="40" customFormat="false" ht="11.45" hidden="false" customHeight="false" outlineLevel="0" collapsed="false">
      <c r="B40" s="9" t="n">
        <v>33</v>
      </c>
      <c r="C40" s="10"/>
      <c r="D40" s="11" t="n">
        <v>15</v>
      </c>
    </row>
    <row r="41" customFormat="false" ht="11.45" hidden="false" customHeight="false" outlineLevel="0" collapsed="false">
      <c r="B41" s="9" t="n">
        <v>34</v>
      </c>
      <c r="C41" s="10"/>
      <c r="D41" s="11" t="n">
        <v>14</v>
      </c>
    </row>
    <row r="42" customFormat="false" ht="11.45" hidden="false" customHeight="false" outlineLevel="0" collapsed="false">
      <c r="B42" s="9" t="n">
        <v>35</v>
      </c>
      <c r="C42" s="10"/>
      <c r="D42" s="11" t="n">
        <v>13</v>
      </c>
    </row>
    <row r="43" customFormat="false" ht="11.45" hidden="false" customHeight="false" outlineLevel="0" collapsed="false">
      <c r="B43" s="9" t="n">
        <v>36</v>
      </c>
      <c r="C43" s="10"/>
      <c r="D43" s="11" t="n">
        <v>12</v>
      </c>
    </row>
    <row r="44" customFormat="false" ht="11.45" hidden="false" customHeight="false" outlineLevel="0" collapsed="false">
      <c r="B44" s="9" t="n">
        <v>37</v>
      </c>
      <c r="C44" s="10"/>
      <c r="D44" s="11" t="n">
        <v>11</v>
      </c>
    </row>
    <row r="45" customFormat="false" ht="11.45" hidden="false" customHeight="false" outlineLevel="0" collapsed="false">
      <c r="B45" s="9" t="n">
        <v>38</v>
      </c>
      <c r="C45" s="10"/>
      <c r="D45" s="11" t="n">
        <v>10</v>
      </c>
    </row>
    <row r="46" customFormat="false" ht="11.45" hidden="false" customHeight="false" outlineLevel="0" collapsed="false">
      <c r="B46" s="9" t="n">
        <v>39</v>
      </c>
      <c r="C46" s="10"/>
      <c r="D46" s="11" t="n">
        <v>9</v>
      </c>
    </row>
    <row r="47" customFormat="false" ht="11.45" hidden="false" customHeight="false" outlineLevel="0" collapsed="false">
      <c r="B47" s="9" t="n">
        <v>40</v>
      </c>
      <c r="C47" s="10"/>
      <c r="D47" s="11" t="n">
        <v>8</v>
      </c>
    </row>
    <row r="48" customFormat="false" ht="11.45" hidden="false" customHeight="false" outlineLevel="0" collapsed="false">
      <c r="B48" s="9" t="n">
        <v>41</v>
      </c>
      <c r="C48" s="10"/>
      <c r="D48" s="11" t="n">
        <v>7</v>
      </c>
    </row>
    <row r="49" customFormat="false" ht="11.45" hidden="false" customHeight="false" outlineLevel="0" collapsed="false">
      <c r="B49" s="9" t="n">
        <v>42</v>
      </c>
      <c r="C49" s="10"/>
      <c r="D49" s="11" t="n">
        <v>6</v>
      </c>
    </row>
    <row r="50" customFormat="false" ht="11.45" hidden="false" customHeight="false" outlineLevel="0" collapsed="false">
      <c r="B50" s="9" t="n">
        <v>43</v>
      </c>
      <c r="C50" s="10"/>
      <c r="D50" s="11" t="n">
        <v>5</v>
      </c>
    </row>
    <row r="51" customFormat="false" ht="11.45" hidden="false" customHeight="false" outlineLevel="0" collapsed="false">
      <c r="B51" s="9" t="n">
        <v>44</v>
      </c>
      <c r="C51" s="10"/>
      <c r="D51" s="11" t="n">
        <v>4</v>
      </c>
    </row>
    <row r="52" customFormat="false" ht="11.45" hidden="false" customHeight="false" outlineLevel="0" collapsed="false">
      <c r="B52" s="9" t="n">
        <v>45</v>
      </c>
      <c r="C52" s="10"/>
      <c r="D52" s="11" t="n">
        <v>3</v>
      </c>
    </row>
    <row r="53" customFormat="false" ht="11.45" hidden="false" customHeight="false" outlineLevel="0" collapsed="false">
      <c r="B53" s="9" t="n">
        <v>46</v>
      </c>
      <c r="C53" s="10"/>
      <c r="D53" s="11" t="n">
        <v>2</v>
      </c>
    </row>
    <row r="54" customFormat="false" ht="11.45" hidden="false" customHeight="false" outlineLevel="0" collapsed="false">
      <c r="B54" s="9" t="n">
        <v>47</v>
      </c>
      <c r="C54" s="10"/>
      <c r="D54" s="11" t="n">
        <v>1</v>
      </c>
    </row>
    <row r="55" customFormat="false" ht="11.45" hidden="false" customHeight="false" outlineLevel="0" collapsed="false">
      <c r="B55" s="14" t="n">
        <v>48</v>
      </c>
      <c r="C55" s="15"/>
      <c r="D55" s="16" t="n">
        <v>0</v>
      </c>
    </row>
  </sheetData>
  <dataValidations count="3">
    <dataValidation allowBlank="true" errorStyle="stop" operator="between" showDropDown="false" showErrorMessage="true" showInputMessage="true" sqref="C9:C15 C17:C55" type="list">
      <formula1>Landen!$F$2:$F$49</formula1>
      <formula2>0</formula2>
    </dataValidation>
    <dataValidation allowBlank="true" error="Selecteer een geldig land!" errorStyle="stop" operator="between" prompt="Selecteer land" showDropDown="false" showErrorMessage="true" showInputMessage="true" sqref="C8" type="list">
      <formula1>Landen!$F$2:$F$49</formula1>
      <formula2>0</formula2>
    </dataValidation>
    <dataValidation allowBlank="true" error="Verkeerde input!" errorStyle="stop" operator="between" showDropDown="false" showErrorMessage="true" showInputMessage="true" sqref="C16" type="list">
      <formula1>Landen!$F$2:$F$49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3" activeCellId="0" sqref="D63"/>
    </sheetView>
  </sheetViews>
  <sheetFormatPr defaultColWidth="8.37890625" defaultRowHeight="11.25" customHeight="false" zeroHeight="false" outlineLevelRow="0" outlineLevelCol="0"/>
  <cols>
    <col collapsed="false" customWidth="true" hidden="false" outlineLevel="0" max="4" min="1" style="0" width="14.76"/>
    <col collapsed="false" customWidth="true" hidden="false" outlineLevel="0" max="6" min="6" style="0" width="19.26"/>
  </cols>
  <sheetData>
    <row r="1" customFormat="false" ht="11.45" hidden="false" customHeight="false" outlineLevel="0" collapsed="false">
      <c r="A1" s="17" t="s">
        <v>4</v>
      </c>
      <c r="B1" s="17"/>
      <c r="C1" s="17"/>
      <c r="D1" s="17"/>
      <c r="E1" s="17"/>
      <c r="F1" s="17"/>
    </row>
    <row r="2" customFormat="false" ht="11.45" hidden="false" customHeight="false" outlineLevel="0" collapsed="false">
      <c r="A2" s="0" t="s">
        <v>13</v>
      </c>
      <c r="B2" s="0" t="n">
        <f aca="false">IF(D2="",0,1)</f>
        <v>1</v>
      </c>
      <c r="C2" s="0" t="n">
        <f aca="false">IF(B2=0,"",SUM(B$2:B2))</f>
        <v>1</v>
      </c>
      <c r="D2" s="0" t="str">
        <f aca="false">IF(COUNTIF(Invullijst!C:C,A2)&gt;=1,"",A2)</f>
        <v>Algerije</v>
      </c>
      <c r="E2" s="0" t="n">
        <v>1</v>
      </c>
      <c r="F2" s="0" t="str">
        <f aca="false">IFERROR(VLOOKUP(E2,$C$2:$D$49,2,0),"")</f>
        <v>Algerije</v>
      </c>
    </row>
    <row r="3" customFormat="false" ht="11.45" hidden="false" customHeight="false" outlineLevel="0" collapsed="false">
      <c r="A3" s="0" t="s">
        <v>14</v>
      </c>
      <c r="B3" s="0" t="n">
        <f aca="false">IF(D3="",0,1)</f>
        <v>1</v>
      </c>
      <c r="C3" s="0" t="n">
        <f aca="false">IF(B3=0,"",SUM(B$2:B3))</f>
        <v>2</v>
      </c>
      <c r="D3" s="0" t="str">
        <f aca="false">IF(COUNTIF(Invullijst!C:C,A3)&gt;=1,"",A3)</f>
        <v>Argentinië</v>
      </c>
      <c r="E3" s="0" t="n">
        <v>2</v>
      </c>
      <c r="F3" s="0" t="str">
        <f aca="false">IFERROR(VLOOKUP(E3,$C$2:$D$49,2,0),"")</f>
        <v>Argentinië</v>
      </c>
    </row>
    <row r="4" customFormat="false" ht="11.45" hidden="false" customHeight="false" outlineLevel="0" collapsed="false">
      <c r="A4" s="0" t="s">
        <v>15</v>
      </c>
      <c r="B4" s="0" t="n">
        <f aca="false">IF(D4="",0,1)</f>
        <v>1</v>
      </c>
      <c r="C4" s="0" t="n">
        <f aca="false">IF(B4=0,"",SUM(B$2:B4))</f>
        <v>3</v>
      </c>
      <c r="D4" s="0" t="str">
        <f aca="false">IF(COUNTIF(Invullijst!C:C,A4)&gt;=1,"",A4)</f>
        <v>Australië</v>
      </c>
      <c r="E4" s="0" t="n">
        <v>3</v>
      </c>
      <c r="F4" s="0" t="str">
        <f aca="false">IFERROR(VLOOKUP(E4,$C$2:$D$49,2,0),"")</f>
        <v>Australië</v>
      </c>
    </row>
    <row r="5" customFormat="false" ht="11.45" hidden="false" customHeight="false" outlineLevel="0" collapsed="false">
      <c r="A5" s="0" t="s">
        <v>16</v>
      </c>
      <c r="B5" s="0" t="n">
        <f aca="false">IF(D5="",0,1)</f>
        <v>1</v>
      </c>
      <c r="C5" s="0" t="n">
        <f aca="false">IF(B5=0,"",SUM(B$2:B5))</f>
        <v>4</v>
      </c>
      <c r="D5" s="0" t="str">
        <f aca="false">IF(COUNTIF(Invullijst!C:C,A5)&gt;=1,"",A5)</f>
        <v>België</v>
      </c>
      <c r="E5" s="0" t="n">
        <v>4</v>
      </c>
      <c r="F5" s="0" t="str">
        <f aca="false">IFERROR(VLOOKUP(E5,$C$2:$D$49,2,0),"")</f>
        <v>België</v>
      </c>
    </row>
    <row r="6" customFormat="false" ht="11.45" hidden="false" customHeight="false" outlineLevel="0" collapsed="false">
      <c r="A6" s="0" t="s">
        <v>17</v>
      </c>
      <c r="B6" s="0" t="n">
        <f aca="false">IF(D6="",0,1)</f>
        <v>1</v>
      </c>
      <c r="C6" s="0" t="n">
        <f aca="false">IF(B6=0,"",SUM(B$2:B6))</f>
        <v>5</v>
      </c>
      <c r="D6" s="0" t="str">
        <f aca="false">IF(COUNTIF(Invullijst!C:C,A6)&gt;=1,"",A6)</f>
        <v>Bosnië en Herzegovina</v>
      </c>
      <c r="E6" s="0" t="n">
        <v>5</v>
      </c>
      <c r="F6" s="0" t="str">
        <f aca="false">IFERROR(VLOOKUP(E6,$C$2:$D$49,2,0),"")</f>
        <v>Bosnië en Herzegovina</v>
      </c>
    </row>
    <row r="7" customFormat="false" ht="11.45" hidden="false" customHeight="false" outlineLevel="0" collapsed="false">
      <c r="A7" s="0" t="s">
        <v>18</v>
      </c>
      <c r="B7" s="0" t="n">
        <f aca="false">IF(D7="",0,1)</f>
        <v>1</v>
      </c>
      <c r="C7" s="0" t="n">
        <f aca="false">IF(B7=0,"",SUM(B$2:B7))</f>
        <v>6</v>
      </c>
      <c r="D7" s="0" t="str">
        <f aca="false">IF(COUNTIF(Invullijst!C:C,A7)&gt;=1,"",A7)</f>
        <v>Brazilië</v>
      </c>
      <c r="E7" s="0" t="n">
        <v>6</v>
      </c>
      <c r="F7" s="0" t="str">
        <f aca="false">IFERROR(VLOOKUP(E7,$C$2:$D$49,2,0),"")</f>
        <v>Brazilië</v>
      </c>
    </row>
    <row r="8" customFormat="false" ht="11.45" hidden="false" customHeight="false" outlineLevel="0" collapsed="false">
      <c r="A8" s="0" t="s">
        <v>19</v>
      </c>
      <c r="B8" s="0" t="n">
        <f aca="false">IF(D8="",0,1)</f>
        <v>1</v>
      </c>
      <c r="C8" s="0" t="n">
        <f aca="false">IF(B8=0,"",SUM(B$2:B8))</f>
        <v>7</v>
      </c>
      <c r="D8" s="0" t="str">
        <f aca="false">IF(COUNTIF(Invullijst!C:C,A8)&gt;=1,"",A8)</f>
        <v>Canada</v>
      </c>
      <c r="E8" s="0" t="n">
        <v>7</v>
      </c>
      <c r="F8" s="0" t="str">
        <f aca="false">IFERROR(VLOOKUP(E8,$C$2:$D$49,2,0),"")</f>
        <v>Canada</v>
      </c>
    </row>
    <row r="9" customFormat="false" ht="11.45" hidden="false" customHeight="false" outlineLevel="0" collapsed="false">
      <c r="A9" s="0" t="s">
        <v>20</v>
      </c>
      <c r="B9" s="0" t="n">
        <f aca="false">IF(D9="",0,1)</f>
        <v>1</v>
      </c>
      <c r="C9" s="0" t="n">
        <f aca="false">IF(B9=0,"",SUM(B$2:B9))</f>
        <v>8</v>
      </c>
      <c r="D9" s="0" t="str">
        <f aca="false">IF(COUNTIF(Invullijst!C:C,A9)&gt;=1,"",A9)</f>
        <v>Colombia</v>
      </c>
      <c r="E9" s="0" t="n">
        <v>8</v>
      </c>
      <c r="F9" s="0" t="str">
        <f aca="false">IFERROR(VLOOKUP(E9,$C$2:$D$49,2,0),"")</f>
        <v>Colombia</v>
      </c>
    </row>
    <row r="10" customFormat="false" ht="11.45" hidden="false" customHeight="false" outlineLevel="0" collapsed="false">
      <c r="A10" s="0" t="s">
        <v>21</v>
      </c>
      <c r="B10" s="0" t="n">
        <f aca="false">IF(D10="",0,1)</f>
        <v>1</v>
      </c>
      <c r="C10" s="0" t="n">
        <f aca="false">IF(B10=0,"",SUM(B$2:B10))</f>
        <v>9</v>
      </c>
      <c r="D10" s="0" t="str">
        <f aca="false">IF(COUNTIF(Invullijst!C:C,A10)&gt;=1,"",A10)</f>
        <v>Congo</v>
      </c>
      <c r="E10" s="0" t="n">
        <v>9</v>
      </c>
      <c r="F10" s="0" t="str">
        <f aca="false">IFERROR(VLOOKUP(E10,$C$2:$D$49,2,0),"")</f>
        <v>Congo</v>
      </c>
    </row>
    <row r="11" customFormat="false" ht="11.45" hidden="false" customHeight="false" outlineLevel="0" collapsed="false">
      <c r="A11" s="0" t="s">
        <v>22</v>
      </c>
      <c r="B11" s="0" t="n">
        <f aca="false">IF(D11="",0,1)</f>
        <v>1</v>
      </c>
      <c r="C11" s="0" t="n">
        <f aca="false">IF(B11=0,"",SUM(B$2:B11))</f>
        <v>10</v>
      </c>
      <c r="D11" s="0" t="str">
        <f aca="false">IF(COUNTIF(Invullijst!C:C,A11)&gt;=1,"",A11)</f>
        <v>Curaçao</v>
      </c>
      <c r="E11" s="0" t="n">
        <v>10</v>
      </c>
      <c r="F11" s="0" t="str">
        <f aca="false">IFERROR(VLOOKUP(E11,$C$2:$D$49,2,0),"")</f>
        <v>Curaçao</v>
      </c>
    </row>
    <row r="12" customFormat="false" ht="11.45" hidden="false" customHeight="false" outlineLevel="0" collapsed="false">
      <c r="A12" s="0" t="s">
        <v>23</v>
      </c>
      <c r="B12" s="0" t="n">
        <f aca="false">IF(D12="",0,1)</f>
        <v>1</v>
      </c>
      <c r="C12" s="0" t="n">
        <f aca="false">IF(B12=0,"",SUM(B$2:B12))</f>
        <v>11</v>
      </c>
      <c r="D12" s="0" t="str">
        <f aca="false">IF(COUNTIF(Invullijst!C:C,A12)&gt;=1,"",A12)</f>
        <v>Duitsland</v>
      </c>
      <c r="E12" s="0" t="n">
        <v>11</v>
      </c>
      <c r="F12" s="0" t="str">
        <f aca="false">IFERROR(VLOOKUP(E12,$C$2:$D$49,2,0),"")</f>
        <v>Duitsland</v>
      </c>
    </row>
    <row r="13" customFormat="false" ht="11.45" hidden="false" customHeight="false" outlineLevel="0" collapsed="false">
      <c r="A13" s="0" t="s">
        <v>24</v>
      </c>
      <c r="B13" s="0" t="n">
        <f aca="false">IF(D13="",0,1)</f>
        <v>1</v>
      </c>
      <c r="C13" s="0" t="n">
        <f aca="false">IF(B13=0,"",SUM(B$2:B13))</f>
        <v>12</v>
      </c>
      <c r="D13" s="0" t="str">
        <f aca="false">IF(COUNTIF(Invullijst!C:C,A13)&gt;=1,"",A13)</f>
        <v>Ecuador</v>
      </c>
      <c r="E13" s="0" t="n">
        <v>12</v>
      </c>
      <c r="F13" s="0" t="str">
        <f aca="false">IFERROR(VLOOKUP(E13,$C$2:$D$49,2,0),"")</f>
        <v>Ecuador</v>
      </c>
    </row>
    <row r="14" customFormat="false" ht="11.45" hidden="false" customHeight="false" outlineLevel="0" collapsed="false">
      <c r="A14" s="0" t="s">
        <v>25</v>
      </c>
      <c r="B14" s="0" t="n">
        <f aca="false">IF(D14="",0,1)</f>
        <v>1</v>
      </c>
      <c r="C14" s="0" t="n">
        <f aca="false">IF(B14=0,"",SUM(B$2:B14))</f>
        <v>13</v>
      </c>
      <c r="D14" s="0" t="str">
        <f aca="false">IF(COUNTIF(Invullijst!C:C,A14)&gt;=1,"",A14)</f>
        <v>Egypte</v>
      </c>
      <c r="E14" s="0" t="n">
        <v>13</v>
      </c>
      <c r="F14" s="0" t="str">
        <f aca="false">IFERROR(VLOOKUP(E14,$C$2:$D$49,2,0),"")</f>
        <v>Egypte</v>
      </c>
    </row>
    <row r="15" customFormat="false" ht="11.45" hidden="false" customHeight="false" outlineLevel="0" collapsed="false">
      <c r="A15" s="0" t="s">
        <v>26</v>
      </c>
      <c r="B15" s="0" t="n">
        <f aca="false">IF(D15="",0,1)</f>
        <v>1</v>
      </c>
      <c r="C15" s="0" t="n">
        <f aca="false">IF(B15=0,"",SUM(B$2:B15))</f>
        <v>14</v>
      </c>
      <c r="D15" s="0" t="str">
        <f aca="false">IF(COUNTIF(Invullijst!C:C,A15)&gt;=1,"",A15)</f>
        <v>Engeland</v>
      </c>
      <c r="E15" s="0" t="n">
        <v>14</v>
      </c>
      <c r="F15" s="0" t="str">
        <f aca="false">IFERROR(VLOOKUP(E15,$C$2:$D$49,2,0),"")</f>
        <v>Engeland</v>
      </c>
    </row>
    <row r="16" customFormat="false" ht="11.45" hidden="false" customHeight="false" outlineLevel="0" collapsed="false">
      <c r="A16" s="0" t="s">
        <v>27</v>
      </c>
      <c r="B16" s="0" t="n">
        <f aca="false">IF(D16="",0,1)</f>
        <v>1</v>
      </c>
      <c r="C16" s="0" t="n">
        <f aca="false">IF(B16=0,"",SUM(B$2:B16))</f>
        <v>15</v>
      </c>
      <c r="D16" s="0" t="str">
        <f aca="false">IF(COUNTIF(Invullijst!C:C,A16)&gt;=1,"",A16)</f>
        <v>Frankrijk</v>
      </c>
      <c r="E16" s="0" t="n">
        <v>15</v>
      </c>
      <c r="F16" s="0" t="str">
        <f aca="false">IFERROR(VLOOKUP(E16,$C$2:$D$49,2,0),"")</f>
        <v>Frankrijk</v>
      </c>
    </row>
    <row r="17" customFormat="false" ht="11.45" hidden="false" customHeight="false" outlineLevel="0" collapsed="false">
      <c r="A17" s="0" t="s">
        <v>28</v>
      </c>
      <c r="B17" s="0" t="n">
        <f aca="false">IF(D17="",0,1)</f>
        <v>1</v>
      </c>
      <c r="C17" s="0" t="n">
        <f aca="false">IF(B17=0,"",SUM(B$2:B17))</f>
        <v>16</v>
      </c>
      <c r="D17" s="0" t="str">
        <f aca="false">IF(COUNTIF(Invullijst!C:C,A17)&gt;=1,"",A17)</f>
        <v>Ghana</v>
      </c>
      <c r="E17" s="0" t="n">
        <v>16</v>
      </c>
      <c r="F17" s="0" t="str">
        <f aca="false">IFERROR(VLOOKUP(E17,$C$2:$D$49,2,0),"")</f>
        <v>Ghana</v>
      </c>
    </row>
    <row r="18" customFormat="false" ht="11.45" hidden="false" customHeight="false" outlineLevel="0" collapsed="false">
      <c r="A18" s="0" t="s">
        <v>29</v>
      </c>
      <c r="B18" s="0" t="n">
        <f aca="false">IF(D18="",0,1)</f>
        <v>1</v>
      </c>
      <c r="C18" s="0" t="n">
        <f aca="false">IF(B18=0,"",SUM(B$2:B18))</f>
        <v>17</v>
      </c>
      <c r="D18" s="0" t="str">
        <f aca="false">IF(COUNTIF(Invullijst!C:C,A18)&gt;=1,"",A18)</f>
        <v>Haïti</v>
      </c>
      <c r="E18" s="0" t="n">
        <v>17</v>
      </c>
      <c r="F18" s="0" t="str">
        <f aca="false">IFERROR(VLOOKUP(E18,$C$2:$D$49,2,0),"")</f>
        <v>Haïti</v>
      </c>
    </row>
    <row r="19" customFormat="false" ht="11.45" hidden="false" customHeight="false" outlineLevel="0" collapsed="false">
      <c r="A19" s="0" t="s">
        <v>30</v>
      </c>
      <c r="B19" s="0" t="n">
        <f aca="false">IF(D19="",0,1)</f>
        <v>1</v>
      </c>
      <c r="C19" s="0" t="n">
        <f aca="false">IF(B19=0,"",SUM(B$2:B19))</f>
        <v>18</v>
      </c>
      <c r="D19" s="0" t="str">
        <f aca="false">IF(COUNTIF(Invullijst!C:C,A19)&gt;=1,"",A19)</f>
        <v>Irak</v>
      </c>
      <c r="E19" s="0" t="n">
        <v>18</v>
      </c>
      <c r="F19" s="0" t="str">
        <f aca="false">IFERROR(VLOOKUP(E19,$C$2:$D$49,2,0),"")</f>
        <v>Irak</v>
      </c>
    </row>
    <row r="20" customFormat="false" ht="11.45" hidden="false" customHeight="false" outlineLevel="0" collapsed="false">
      <c r="A20" s="0" t="s">
        <v>31</v>
      </c>
      <c r="B20" s="0" t="n">
        <f aca="false">IF(D20="",0,1)</f>
        <v>1</v>
      </c>
      <c r="C20" s="0" t="n">
        <f aca="false">IF(B20=0,"",SUM(B$2:B20))</f>
        <v>19</v>
      </c>
      <c r="D20" s="0" t="str">
        <f aca="false">IF(COUNTIF(Invullijst!C:C,A20)&gt;=1,"",A20)</f>
        <v>Iran</v>
      </c>
      <c r="E20" s="0" t="n">
        <v>19</v>
      </c>
      <c r="F20" s="0" t="str">
        <f aca="false">IFERROR(VLOOKUP(E20,$C$2:$D$49,2,0),"")</f>
        <v>Iran</v>
      </c>
    </row>
    <row r="21" customFormat="false" ht="11.45" hidden="false" customHeight="false" outlineLevel="0" collapsed="false">
      <c r="A21" s="0" t="s">
        <v>32</v>
      </c>
      <c r="B21" s="0" t="n">
        <f aca="false">IF(D21="",0,1)</f>
        <v>1</v>
      </c>
      <c r="C21" s="0" t="n">
        <f aca="false">IF(B21=0,"",SUM(B$2:B21))</f>
        <v>20</v>
      </c>
      <c r="D21" s="0" t="str">
        <f aca="false">IF(COUNTIF(Invullijst!C:C,A21)&gt;=1,"",A21)</f>
        <v>Ivoorkust</v>
      </c>
      <c r="E21" s="0" t="n">
        <v>20</v>
      </c>
      <c r="F21" s="0" t="str">
        <f aca="false">IFERROR(VLOOKUP(E21,$C$2:$D$49,2,0),"")</f>
        <v>Ivoorkust</v>
      </c>
    </row>
    <row r="22" customFormat="false" ht="11.45" hidden="false" customHeight="false" outlineLevel="0" collapsed="false">
      <c r="A22" s="0" t="s">
        <v>33</v>
      </c>
      <c r="B22" s="0" t="n">
        <f aca="false">IF(D22="",0,1)</f>
        <v>1</v>
      </c>
      <c r="C22" s="0" t="n">
        <f aca="false">IF(B22=0,"",SUM(B$2:B22))</f>
        <v>21</v>
      </c>
      <c r="D22" s="0" t="str">
        <f aca="false">IF(COUNTIF(Invullijst!C:C,A22)&gt;=1,"",A22)</f>
        <v>Japan</v>
      </c>
      <c r="E22" s="0" t="n">
        <v>21</v>
      </c>
      <c r="F22" s="0" t="str">
        <f aca="false">IFERROR(VLOOKUP(E22,$C$2:$D$49,2,0),"")</f>
        <v>Japan</v>
      </c>
    </row>
    <row r="23" customFormat="false" ht="11.45" hidden="false" customHeight="false" outlineLevel="0" collapsed="false">
      <c r="A23" s="0" t="s">
        <v>34</v>
      </c>
      <c r="B23" s="0" t="n">
        <f aca="false">IF(D23="",0,1)</f>
        <v>1</v>
      </c>
      <c r="C23" s="0" t="n">
        <f aca="false">IF(B23=0,"",SUM(B$2:B23))</f>
        <v>22</v>
      </c>
      <c r="D23" s="0" t="str">
        <f aca="false">IF(COUNTIF(Invullijst!C:C,A23)&gt;=1,"",A23)</f>
        <v>Jordanië</v>
      </c>
      <c r="E23" s="0" t="n">
        <v>22</v>
      </c>
      <c r="F23" s="0" t="str">
        <f aca="false">IFERROR(VLOOKUP(E23,$C$2:$D$49,2,0),"")</f>
        <v>Jordanië</v>
      </c>
    </row>
    <row r="24" customFormat="false" ht="11.45" hidden="false" customHeight="false" outlineLevel="0" collapsed="false">
      <c r="A24" s="0" t="s">
        <v>35</v>
      </c>
      <c r="B24" s="0" t="n">
        <f aca="false">IF(D24="",0,1)</f>
        <v>1</v>
      </c>
      <c r="C24" s="0" t="n">
        <f aca="false">IF(B24=0,"",SUM(B$2:B24))</f>
        <v>23</v>
      </c>
      <c r="D24" s="0" t="str">
        <f aca="false">IF(COUNTIF(Invullijst!C:C,A24)&gt;=1,"",A24)</f>
        <v>Kaapverdië</v>
      </c>
      <c r="E24" s="0" t="n">
        <v>23</v>
      </c>
      <c r="F24" s="0" t="str">
        <f aca="false">IFERROR(VLOOKUP(E24,$C$2:$D$49,2,0),"")</f>
        <v>Kaapverdië</v>
      </c>
    </row>
    <row r="25" customFormat="false" ht="11.45" hidden="false" customHeight="false" outlineLevel="0" collapsed="false">
      <c r="A25" s="0" t="s">
        <v>36</v>
      </c>
      <c r="B25" s="0" t="n">
        <f aca="false">IF(D25="",0,1)</f>
        <v>1</v>
      </c>
      <c r="C25" s="0" t="n">
        <f aca="false">IF(B25=0,"",SUM(B$2:B25))</f>
        <v>24</v>
      </c>
      <c r="D25" s="0" t="str">
        <f aca="false">IF(COUNTIF(Invullijst!C:C,A25)&gt;=1,"",A25)</f>
        <v>Kroatië</v>
      </c>
      <c r="E25" s="0" t="n">
        <v>24</v>
      </c>
      <c r="F25" s="0" t="str">
        <f aca="false">IFERROR(VLOOKUP(E25,$C$2:$D$49,2,0),"")</f>
        <v>Kroatië</v>
      </c>
    </row>
    <row r="26" customFormat="false" ht="11.45" hidden="false" customHeight="false" outlineLevel="0" collapsed="false">
      <c r="A26" s="0" t="s">
        <v>37</v>
      </c>
      <c r="B26" s="0" t="n">
        <f aca="false">IF(D26="",0,1)</f>
        <v>1</v>
      </c>
      <c r="C26" s="0" t="n">
        <f aca="false">IF(B26=0,"",SUM(B$2:B26))</f>
        <v>25</v>
      </c>
      <c r="D26" s="0" t="str">
        <f aca="false">IF(COUNTIF(Invullijst!C:C,A26)&gt;=1,"",A26)</f>
        <v>Marokko</v>
      </c>
      <c r="E26" s="0" t="n">
        <v>25</v>
      </c>
      <c r="F26" s="0" t="str">
        <f aca="false">IFERROR(VLOOKUP(E26,$C$2:$D$49,2,0),"")</f>
        <v>Marokko</v>
      </c>
    </row>
    <row r="27" customFormat="false" ht="11.45" hidden="false" customHeight="false" outlineLevel="0" collapsed="false">
      <c r="A27" s="0" t="s">
        <v>38</v>
      </c>
      <c r="B27" s="0" t="n">
        <f aca="false">IF(D27="",0,1)</f>
        <v>1</v>
      </c>
      <c r="C27" s="0" t="n">
        <f aca="false">IF(B27=0,"",SUM(B$2:B27))</f>
        <v>26</v>
      </c>
      <c r="D27" s="0" t="str">
        <f aca="false">IF(COUNTIF(Invullijst!C:C,A27)&gt;=1,"",A27)</f>
        <v>Mexico</v>
      </c>
      <c r="E27" s="0" t="n">
        <v>26</v>
      </c>
      <c r="F27" s="0" t="str">
        <f aca="false">IFERROR(VLOOKUP(E27,$C$2:$D$49,2,0),"")</f>
        <v>Mexico</v>
      </c>
    </row>
    <row r="28" customFormat="false" ht="11.45" hidden="false" customHeight="false" outlineLevel="0" collapsed="false">
      <c r="A28" s="0" t="s">
        <v>39</v>
      </c>
      <c r="B28" s="0" t="n">
        <f aca="false">IF(D28="",0,1)</f>
        <v>1</v>
      </c>
      <c r="C28" s="0" t="n">
        <f aca="false">IF(B28=0,"",SUM(B$2:B28))</f>
        <v>27</v>
      </c>
      <c r="D28" s="0" t="str">
        <f aca="false">IF(COUNTIF(Invullijst!C:C,A28)&gt;=1,"",A28)</f>
        <v>Nederland</v>
      </c>
      <c r="E28" s="0" t="n">
        <v>27</v>
      </c>
      <c r="F28" s="0" t="str">
        <f aca="false">IFERROR(VLOOKUP(E28,$C$2:$D$49,2,0),"")</f>
        <v>Nederland</v>
      </c>
    </row>
    <row r="29" customFormat="false" ht="11.45" hidden="false" customHeight="false" outlineLevel="0" collapsed="false">
      <c r="A29" s="0" t="s">
        <v>40</v>
      </c>
      <c r="B29" s="0" t="n">
        <f aca="false">IF(D29="",0,1)</f>
        <v>1</v>
      </c>
      <c r="C29" s="0" t="n">
        <f aca="false">IF(B29=0,"",SUM(B$2:B29))</f>
        <v>28</v>
      </c>
      <c r="D29" s="0" t="str">
        <f aca="false">IF(COUNTIF(Invullijst!C:C,A29)&gt;=1,"",A29)</f>
        <v>Nieuw-Zeeland</v>
      </c>
      <c r="E29" s="0" t="n">
        <v>28</v>
      </c>
      <c r="F29" s="0" t="str">
        <f aca="false">IFERROR(VLOOKUP(E29,$C$2:$D$49,2,0),"")</f>
        <v>Nieuw-Zeeland</v>
      </c>
    </row>
    <row r="30" customFormat="false" ht="11.45" hidden="false" customHeight="false" outlineLevel="0" collapsed="false">
      <c r="A30" s="0" t="s">
        <v>41</v>
      </c>
      <c r="B30" s="0" t="n">
        <f aca="false">IF(D30="",0,1)</f>
        <v>1</v>
      </c>
      <c r="C30" s="0" t="n">
        <f aca="false">IF(B30=0,"",SUM(B$2:B30))</f>
        <v>29</v>
      </c>
      <c r="D30" s="0" t="str">
        <f aca="false">IF(COUNTIF(Invullijst!C:C,A30)&gt;=1,"",A30)</f>
        <v>Noorwegen</v>
      </c>
      <c r="E30" s="0" t="n">
        <v>29</v>
      </c>
      <c r="F30" s="0" t="str">
        <f aca="false">IFERROR(VLOOKUP(E30,$C$2:$D$49,2,0),"")</f>
        <v>Noorwegen</v>
      </c>
    </row>
    <row r="31" customFormat="false" ht="11.45" hidden="false" customHeight="false" outlineLevel="0" collapsed="false">
      <c r="A31" s="0" t="s">
        <v>42</v>
      </c>
      <c r="B31" s="0" t="n">
        <f aca="false">IF(D31="",0,1)</f>
        <v>1</v>
      </c>
      <c r="C31" s="0" t="n">
        <f aca="false">IF(B31=0,"",SUM(B$2:B31))</f>
        <v>30</v>
      </c>
      <c r="D31" s="0" t="str">
        <f aca="false">IF(COUNTIF(Invullijst!C:C,A31)&gt;=1,"",A31)</f>
        <v>Oezbekistan</v>
      </c>
      <c r="E31" s="0" t="n">
        <v>30</v>
      </c>
      <c r="F31" s="0" t="str">
        <f aca="false">IFERROR(VLOOKUP(E31,$C$2:$D$49,2,0),"")</f>
        <v>Oezbekistan</v>
      </c>
    </row>
    <row r="32" customFormat="false" ht="11.45" hidden="false" customHeight="false" outlineLevel="0" collapsed="false">
      <c r="A32" s="0" t="s">
        <v>43</v>
      </c>
      <c r="B32" s="0" t="n">
        <f aca="false">IF(D32="",0,1)</f>
        <v>1</v>
      </c>
      <c r="C32" s="0" t="n">
        <f aca="false">IF(B32=0,"",SUM(B$2:B32))</f>
        <v>31</v>
      </c>
      <c r="D32" s="0" t="str">
        <f aca="false">IF(COUNTIF(Invullijst!C:C,A32)&gt;=1,"",A32)</f>
        <v>Oostenrijk</v>
      </c>
      <c r="E32" s="0" t="n">
        <v>31</v>
      </c>
      <c r="F32" s="0" t="str">
        <f aca="false">IFERROR(VLOOKUP(E32,$C$2:$D$49,2,0),"")</f>
        <v>Oostenrijk</v>
      </c>
    </row>
    <row r="33" customFormat="false" ht="11.45" hidden="false" customHeight="false" outlineLevel="0" collapsed="false">
      <c r="A33" s="0" t="s">
        <v>44</v>
      </c>
      <c r="B33" s="0" t="n">
        <f aca="false">IF(D33="",0,1)</f>
        <v>1</v>
      </c>
      <c r="C33" s="0" t="n">
        <f aca="false">IF(B33=0,"",SUM(B$2:B33))</f>
        <v>32</v>
      </c>
      <c r="D33" s="0" t="str">
        <f aca="false">IF(COUNTIF(Invullijst!C:C,A33)&gt;=1,"",A33)</f>
        <v>Panama</v>
      </c>
      <c r="E33" s="0" t="n">
        <v>32</v>
      </c>
      <c r="F33" s="0" t="str">
        <f aca="false">IFERROR(VLOOKUP(E33,$C$2:$D$49,2,0),"")</f>
        <v>Panama</v>
      </c>
    </row>
    <row r="34" customFormat="false" ht="11.45" hidden="false" customHeight="false" outlineLevel="0" collapsed="false">
      <c r="A34" s="0" t="s">
        <v>45</v>
      </c>
      <c r="B34" s="0" t="n">
        <f aca="false">IF(D34="",0,1)</f>
        <v>1</v>
      </c>
      <c r="C34" s="0" t="n">
        <f aca="false">IF(B34=0,"",SUM(B$2:B34))</f>
        <v>33</v>
      </c>
      <c r="D34" s="0" t="str">
        <f aca="false">IF(COUNTIF(Invullijst!C:C,A34)&gt;=1,"",A34)</f>
        <v>Paraguay</v>
      </c>
      <c r="E34" s="0" t="n">
        <v>33</v>
      </c>
      <c r="F34" s="0" t="str">
        <f aca="false">IFERROR(VLOOKUP(E34,$C$2:$D$49,2,0),"")</f>
        <v>Paraguay</v>
      </c>
    </row>
    <row r="35" customFormat="false" ht="11.45" hidden="false" customHeight="false" outlineLevel="0" collapsed="false">
      <c r="A35" s="0" t="s">
        <v>46</v>
      </c>
      <c r="B35" s="0" t="n">
        <f aca="false">IF(D35="",0,1)</f>
        <v>1</v>
      </c>
      <c r="C35" s="0" t="n">
        <f aca="false">IF(B35=0,"",SUM(B$2:B35))</f>
        <v>34</v>
      </c>
      <c r="D35" s="0" t="str">
        <f aca="false">IF(COUNTIF(Invullijst!C:C,A35)&gt;=1,"",A35)</f>
        <v>Portugal</v>
      </c>
      <c r="E35" s="0" t="n">
        <v>34</v>
      </c>
      <c r="F35" s="0" t="str">
        <f aca="false">IFERROR(VLOOKUP(E35,$C$2:$D$49,2,0),"")</f>
        <v>Portugal</v>
      </c>
    </row>
    <row r="36" customFormat="false" ht="11.45" hidden="false" customHeight="false" outlineLevel="0" collapsed="false">
      <c r="A36" s="0" t="s">
        <v>47</v>
      </c>
      <c r="B36" s="0" t="n">
        <f aca="false">IF(D36="",0,1)</f>
        <v>1</v>
      </c>
      <c r="C36" s="0" t="n">
        <f aca="false">IF(B36=0,"",SUM(B$2:B36))</f>
        <v>35</v>
      </c>
      <c r="D36" s="0" t="str">
        <f aca="false">IF(COUNTIF(Invullijst!C:C,A36)&gt;=1,"",A36)</f>
        <v>Qatar</v>
      </c>
      <c r="E36" s="0" t="n">
        <v>35</v>
      </c>
      <c r="F36" s="0" t="str">
        <f aca="false">IFERROR(VLOOKUP(E36,$C$2:$D$49,2,0),"")</f>
        <v>Qatar</v>
      </c>
    </row>
    <row r="37" customFormat="false" ht="11.45" hidden="false" customHeight="false" outlineLevel="0" collapsed="false">
      <c r="A37" s="0" t="s">
        <v>48</v>
      </c>
      <c r="B37" s="0" t="n">
        <f aca="false">IF(D37="",0,1)</f>
        <v>1</v>
      </c>
      <c r="C37" s="0" t="n">
        <f aca="false">IF(B37=0,"",SUM(B$2:B37))</f>
        <v>36</v>
      </c>
      <c r="D37" s="0" t="str">
        <f aca="false">IF(COUNTIF(Invullijst!C:C,A37)&gt;=1,"",A37)</f>
        <v>Saoedi-Arabië</v>
      </c>
      <c r="E37" s="0" t="n">
        <v>36</v>
      </c>
      <c r="F37" s="0" t="str">
        <f aca="false">IFERROR(VLOOKUP(E37,$C$2:$D$49,2,0),"")</f>
        <v>Saoedi-Arabië</v>
      </c>
    </row>
    <row r="38" customFormat="false" ht="11.45" hidden="false" customHeight="false" outlineLevel="0" collapsed="false">
      <c r="A38" s="0" t="s">
        <v>49</v>
      </c>
      <c r="B38" s="0" t="n">
        <f aca="false">IF(D38="",0,1)</f>
        <v>1</v>
      </c>
      <c r="C38" s="0" t="n">
        <f aca="false">IF(B38=0,"",SUM(B$2:B38))</f>
        <v>37</v>
      </c>
      <c r="D38" s="0" t="str">
        <f aca="false">IF(COUNTIF(Invullijst!C:C,A38)&gt;=1,"",A38)</f>
        <v>Schotland</v>
      </c>
      <c r="E38" s="0" t="n">
        <v>37</v>
      </c>
      <c r="F38" s="0" t="str">
        <f aca="false">IFERROR(VLOOKUP(E38,$C$2:$D$49,2,0),"")</f>
        <v>Schotland</v>
      </c>
    </row>
    <row r="39" customFormat="false" ht="11.45" hidden="false" customHeight="false" outlineLevel="0" collapsed="false">
      <c r="A39" s="0" t="s">
        <v>50</v>
      </c>
      <c r="B39" s="0" t="n">
        <f aca="false">IF(D39="",0,1)</f>
        <v>1</v>
      </c>
      <c r="C39" s="0" t="n">
        <f aca="false">IF(B39=0,"",SUM(B$2:B39))</f>
        <v>38</v>
      </c>
      <c r="D39" s="0" t="str">
        <f aca="false">IF(COUNTIF(Invullijst!C:C,A39)&gt;=1,"",A39)</f>
        <v>Senegal</v>
      </c>
      <c r="E39" s="0" t="n">
        <v>38</v>
      </c>
      <c r="F39" s="0" t="str">
        <f aca="false">IFERROR(VLOOKUP(E39,$C$2:$D$49,2,0),"")</f>
        <v>Senegal</v>
      </c>
    </row>
    <row r="40" customFormat="false" ht="11.45" hidden="false" customHeight="false" outlineLevel="0" collapsed="false">
      <c r="A40" s="0" t="s">
        <v>51</v>
      </c>
      <c r="B40" s="0" t="n">
        <f aca="false">IF(D40="",0,1)</f>
        <v>1</v>
      </c>
      <c r="C40" s="0" t="n">
        <f aca="false">IF(B40=0,"",SUM(B$2:B40))</f>
        <v>39</v>
      </c>
      <c r="D40" s="0" t="str">
        <f aca="false">IF(COUNTIF(Invullijst!C:C,A40)&gt;=1,"",A40)</f>
        <v>Spanje</v>
      </c>
      <c r="E40" s="0" t="n">
        <v>39</v>
      </c>
      <c r="F40" s="0" t="str">
        <f aca="false">IFERROR(VLOOKUP(E40,$C$2:$D$49,2,0),"")</f>
        <v>Spanje</v>
      </c>
    </row>
    <row r="41" customFormat="false" ht="11.45" hidden="false" customHeight="false" outlineLevel="0" collapsed="false">
      <c r="A41" s="0" t="s">
        <v>52</v>
      </c>
      <c r="B41" s="0" t="n">
        <f aca="false">IF(D41="",0,1)</f>
        <v>1</v>
      </c>
      <c r="C41" s="0" t="n">
        <f aca="false">IF(B41=0,"",SUM(B$2:B41))</f>
        <v>40</v>
      </c>
      <c r="D41" s="0" t="str">
        <f aca="false">IF(COUNTIF(Invullijst!C:C,A41)&gt;=1,"",A41)</f>
        <v>Tsjechië</v>
      </c>
      <c r="E41" s="0" t="n">
        <v>40</v>
      </c>
      <c r="F41" s="0" t="str">
        <f aca="false">IFERROR(VLOOKUP(E41,$C$2:$D$49,2,0),"")</f>
        <v>Tsjechië</v>
      </c>
    </row>
    <row r="42" customFormat="false" ht="11.45" hidden="false" customHeight="false" outlineLevel="0" collapsed="false">
      <c r="A42" s="0" t="s">
        <v>53</v>
      </c>
      <c r="B42" s="0" t="n">
        <f aca="false">IF(D42="",0,1)</f>
        <v>1</v>
      </c>
      <c r="C42" s="0" t="n">
        <f aca="false">IF(B42=0,"",SUM(B$2:B42))</f>
        <v>41</v>
      </c>
      <c r="D42" s="0" t="str">
        <f aca="false">IF(COUNTIF(Invullijst!C:C,A42)&gt;=1,"",A42)</f>
        <v>Tunesië</v>
      </c>
      <c r="E42" s="0" t="n">
        <v>41</v>
      </c>
      <c r="F42" s="0" t="str">
        <f aca="false">IFERROR(VLOOKUP(E42,$C$2:$D$49,2,0),"")</f>
        <v>Tunesië</v>
      </c>
    </row>
    <row r="43" customFormat="false" ht="11.45" hidden="false" customHeight="false" outlineLevel="0" collapsed="false">
      <c r="A43" s="0" t="s">
        <v>54</v>
      </c>
      <c r="B43" s="0" t="n">
        <f aca="false">IF(D43="",0,1)</f>
        <v>1</v>
      </c>
      <c r="C43" s="0" t="n">
        <f aca="false">IF(B43=0,"",SUM(B$2:B43))</f>
        <v>42</v>
      </c>
      <c r="D43" s="0" t="str">
        <f aca="false">IF(COUNTIF(Invullijst!C:C,A43)&gt;=1,"",A43)</f>
        <v>Turkije</v>
      </c>
      <c r="E43" s="0" t="n">
        <v>42</v>
      </c>
      <c r="F43" s="0" t="str">
        <f aca="false">IFERROR(VLOOKUP(E43,$C$2:$D$49,2,0),"")</f>
        <v>Turkije</v>
      </c>
    </row>
    <row r="44" customFormat="false" ht="11.45" hidden="false" customHeight="false" outlineLevel="0" collapsed="false">
      <c r="A44" s="0" t="s">
        <v>55</v>
      </c>
      <c r="B44" s="0" t="n">
        <f aca="false">IF(D44="",0,1)</f>
        <v>1</v>
      </c>
      <c r="C44" s="0" t="n">
        <f aca="false">IF(B44=0,"",SUM(B$2:B44))</f>
        <v>43</v>
      </c>
      <c r="D44" s="0" t="str">
        <f aca="false">IF(COUNTIF(Invullijst!C:C,A44)&gt;=1,"",A44)</f>
        <v>Uruguay</v>
      </c>
      <c r="E44" s="0" t="n">
        <v>43</v>
      </c>
      <c r="F44" s="0" t="str">
        <f aca="false">IFERROR(VLOOKUP(E44,$C$2:$D$49,2,0),"")</f>
        <v>Uruguay</v>
      </c>
    </row>
    <row r="45" customFormat="false" ht="11.45" hidden="false" customHeight="false" outlineLevel="0" collapsed="false">
      <c r="A45" s="0" t="s">
        <v>56</v>
      </c>
      <c r="B45" s="0" t="n">
        <f aca="false">IF(D45="",0,1)</f>
        <v>1</v>
      </c>
      <c r="C45" s="0" t="n">
        <f aca="false">IF(B45=0,"",SUM(B$2:B45))</f>
        <v>44</v>
      </c>
      <c r="D45" s="0" t="str">
        <f aca="false">IF(COUNTIF(Invullijst!C:C,A45)&gt;=1,"",A45)</f>
        <v>Verenigde Staten</v>
      </c>
      <c r="E45" s="0" t="n">
        <v>44</v>
      </c>
      <c r="F45" s="0" t="str">
        <f aca="false">IFERROR(VLOOKUP(E45,$C$2:$D$49,2,0),"")</f>
        <v>Verenigde Staten</v>
      </c>
    </row>
    <row r="46" customFormat="false" ht="11.45" hidden="false" customHeight="false" outlineLevel="0" collapsed="false">
      <c r="A46" s="0" t="s">
        <v>57</v>
      </c>
      <c r="B46" s="0" t="n">
        <f aca="false">IF(D46="",0,1)</f>
        <v>1</v>
      </c>
      <c r="C46" s="0" t="n">
        <f aca="false">IF(B46=0,"",SUM(B$2:B46))</f>
        <v>45</v>
      </c>
      <c r="D46" s="0" t="str">
        <f aca="false">IF(COUNTIF(Invullijst!C:C,A46)&gt;=1,"",A46)</f>
        <v>Zuid-Afrika</v>
      </c>
      <c r="E46" s="0" t="n">
        <v>45</v>
      </c>
      <c r="F46" s="0" t="str">
        <f aca="false">IFERROR(VLOOKUP(E46,$C$2:$D$49,2,0),"")</f>
        <v>Zuid-Afrika</v>
      </c>
    </row>
    <row r="47" customFormat="false" ht="11.45" hidden="false" customHeight="false" outlineLevel="0" collapsed="false">
      <c r="A47" s="0" t="s">
        <v>58</v>
      </c>
      <c r="B47" s="0" t="n">
        <f aca="false">IF(D47="",0,1)</f>
        <v>1</v>
      </c>
      <c r="C47" s="0" t="n">
        <f aca="false">IF(B47=0,"",SUM(B$2:B47))</f>
        <v>46</v>
      </c>
      <c r="D47" s="0" t="str">
        <f aca="false">IF(COUNTIF(Invullijst!C:C,A47)&gt;=1,"",A47)</f>
        <v>Zuid-Korea</v>
      </c>
      <c r="E47" s="0" t="n">
        <v>46</v>
      </c>
      <c r="F47" s="0" t="str">
        <f aca="false">IFERROR(VLOOKUP(E47,$C$2:$D$49,2,0),"")</f>
        <v>Zuid-Korea</v>
      </c>
    </row>
    <row r="48" customFormat="false" ht="11.45" hidden="false" customHeight="false" outlineLevel="0" collapsed="false">
      <c r="A48" s="0" t="s">
        <v>59</v>
      </c>
      <c r="B48" s="0" t="n">
        <f aca="false">IF(D48="",0,1)</f>
        <v>1</v>
      </c>
      <c r="C48" s="0" t="n">
        <f aca="false">IF(B48=0,"",SUM(B$2:B48))</f>
        <v>47</v>
      </c>
      <c r="D48" s="0" t="str">
        <f aca="false">IF(COUNTIF(Invullijst!C:C,A48)&gt;=1,"",A48)</f>
        <v>Zweden</v>
      </c>
      <c r="E48" s="0" t="n">
        <v>47</v>
      </c>
      <c r="F48" s="0" t="str">
        <f aca="false">IFERROR(VLOOKUP(E48,$C$2:$D$49,2,0),"")</f>
        <v>Zweden</v>
      </c>
    </row>
    <row r="49" customFormat="false" ht="11.45" hidden="false" customHeight="false" outlineLevel="0" collapsed="false">
      <c r="A49" s="0" t="s">
        <v>60</v>
      </c>
      <c r="B49" s="0" t="n">
        <f aca="false">IF(D49="",0,1)</f>
        <v>1</v>
      </c>
      <c r="C49" s="0" t="n">
        <f aca="false">IF(B49=0,"",SUM(B$2:B49))</f>
        <v>48</v>
      </c>
      <c r="D49" s="0" t="str">
        <f aca="false">IF(COUNTIF(Invullijst!C:C,A49)&gt;=1,"",A49)</f>
        <v>Zwitserland</v>
      </c>
      <c r="E49" s="0" t="n">
        <v>48</v>
      </c>
      <c r="F49" s="0" t="str">
        <f aca="false">IFERROR(VLOOKUP(E49,$C$2:$D$49,2,0),"")</f>
        <v>Zwitserland</v>
      </c>
    </row>
  </sheetData>
  <autoFilter ref="A1:F25">
    <sortState ref="A2:F25">
      <sortCondition ref="A2:A25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2021-05-20T06:27:34Z</dcterms:created>
  <dc:creator>Berndt, Tycho (T.)</dc:creator>
  <dc:description/>
  <dc:language>en-US</dc:language>
  <cp:lastModifiedBy/>
  <dcterms:modified xsi:type="dcterms:W3CDTF">2026-04-26T17:04:40Z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