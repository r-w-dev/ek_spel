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provincienoordholland-my.sharepoint.com/personal/kevin_lagerweij_noord-holland_nl/Documents/Documenten/Prive/"/>
    </mc:Choice>
  </mc:AlternateContent>
  <xr:revisionPtr revIDLastSave="312" documentId="13_ncr:1_{3B9D2A3F-D446-4A62-AF01-FE1BAEED4B26}" xr6:coauthVersionLast="47" xr6:coauthVersionMax="47" xr10:uidLastSave="{E0B15719-8BF8-408F-BEC6-9DB5009F999C}"/>
  <bookViews>
    <workbookView xWindow="-110" yWindow="-110" windowWidth="19420" windowHeight="10300" xr2:uid="{00000000-000D-0000-FFFF-FFFF00000000}"/>
  </bookViews>
  <sheets>
    <sheet name="Invullijst" sheetId="1" r:id="rId1"/>
    <sheet name="Landen" sheetId="2" state="hidden" r:id="rId2"/>
  </sheets>
  <definedNames>
    <definedName name="_xlnm._FilterDatabase" localSheetId="1" hidden="1">Landen!$A$1:$H$1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6" i="2" l="1"/>
  <c r="B26" i="2" s="1"/>
  <c r="D27" i="2"/>
  <c r="B27" i="2" s="1"/>
  <c r="D28" i="2"/>
  <c r="B28" i="2" s="1"/>
  <c r="D29" i="2"/>
  <c r="B29" i="2" s="1"/>
  <c r="D30" i="2"/>
  <c r="B30" i="2" s="1"/>
  <c r="D31" i="2"/>
  <c r="B31" i="2" s="1"/>
  <c r="D32" i="2"/>
  <c r="B32" i="2" s="1"/>
  <c r="D33" i="2"/>
  <c r="B33" i="2" s="1"/>
  <c r="D34" i="2"/>
  <c r="B34" i="2" s="1"/>
  <c r="D35" i="2"/>
  <c r="B35" i="2" s="1"/>
  <c r="D36" i="2"/>
  <c r="B36" i="2" s="1"/>
  <c r="D37" i="2"/>
  <c r="B37" i="2" s="1"/>
  <c r="D38" i="2"/>
  <c r="B38" i="2" s="1"/>
  <c r="D39" i="2"/>
  <c r="B39" i="2" s="1"/>
  <c r="D40" i="2"/>
  <c r="B40" i="2" s="1"/>
  <c r="D41" i="2"/>
  <c r="B41" i="2" s="1"/>
  <c r="D42" i="2"/>
  <c r="B42" i="2" s="1"/>
  <c r="D43" i="2"/>
  <c r="B43" i="2" s="1"/>
  <c r="D44" i="2"/>
  <c r="B44" i="2" s="1"/>
  <c r="D45" i="2"/>
  <c r="B45" i="2" s="1"/>
  <c r="D46" i="2"/>
  <c r="B46" i="2" s="1"/>
  <c r="D47" i="2"/>
  <c r="B47" i="2" s="1"/>
  <c r="D48" i="2"/>
  <c r="B48" i="2" s="1"/>
  <c r="D49" i="2"/>
  <c r="B49" i="2" s="1"/>
  <c r="D14" i="2"/>
  <c r="B14" i="2" s="1"/>
  <c r="D12" i="2"/>
  <c r="B12" i="2" s="1"/>
  <c r="D15" i="2"/>
  <c r="B15" i="2" s="1"/>
  <c r="D7" i="2"/>
  <c r="B7" i="2" s="1"/>
  <c r="D3" i="2"/>
  <c r="B3" i="2" s="1"/>
  <c r="D21" i="2"/>
  <c r="B21" i="2" s="1"/>
  <c r="D17" i="2"/>
  <c r="B17" i="2" s="1"/>
  <c r="D13" i="2"/>
  <c r="B13" i="2" s="1"/>
  <c r="D24" i="2"/>
  <c r="B24" i="2" s="1"/>
  <c r="D8" i="2"/>
  <c r="B8" i="2" s="1"/>
  <c r="D16" i="2"/>
  <c r="B16" i="2" s="1"/>
  <c r="D23" i="2"/>
  <c r="B23" i="2" s="1"/>
  <c r="D18" i="2"/>
  <c r="B18" i="2" s="1"/>
  <c r="D9" i="2"/>
  <c r="B9" i="2" s="1"/>
  <c r="D25" i="2"/>
  <c r="B25" i="2" s="1"/>
  <c r="D22" i="2"/>
  <c r="B22" i="2" s="1"/>
  <c r="D11" i="2"/>
  <c r="B11" i="2" s="1"/>
  <c r="D10" i="2"/>
  <c r="B10" i="2" s="1"/>
  <c r="D2" i="2"/>
  <c r="B2" i="2" s="1"/>
  <c r="D19" i="2"/>
  <c r="B19" i="2" s="1"/>
  <c r="D6" i="2"/>
  <c r="B6" i="2" s="1"/>
  <c r="D20" i="2"/>
  <c r="B20" i="2" s="1"/>
  <c r="D4" i="2"/>
  <c r="B4" i="2" s="1"/>
  <c r="D5" i="2"/>
  <c r="B5" i="2" s="1"/>
  <c r="C44" i="2" l="1"/>
  <c r="C43" i="2"/>
  <c r="C28" i="2"/>
  <c r="C42" i="2"/>
  <c r="C27" i="2"/>
  <c r="C29" i="2"/>
  <c r="C26" i="2"/>
  <c r="C41" i="2"/>
  <c r="C40" i="2"/>
  <c r="C39" i="2"/>
  <c r="C38" i="2"/>
  <c r="C37" i="2"/>
  <c r="C36" i="2"/>
  <c r="C35" i="2"/>
  <c r="C34" i="2"/>
  <c r="C49" i="2"/>
  <c r="C33" i="2"/>
  <c r="C48" i="2"/>
  <c r="C32" i="2"/>
  <c r="C47" i="2"/>
  <c r="C31" i="2"/>
  <c r="C46" i="2"/>
  <c r="C30" i="2"/>
  <c r="C45" i="2"/>
  <c r="C5" i="2"/>
  <c r="C17" i="2"/>
  <c r="C3" i="2"/>
  <c r="C14" i="2"/>
  <c r="C23" i="2"/>
  <c r="C8" i="2"/>
  <c r="C13" i="2"/>
  <c r="C21" i="2"/>
  <c r="C7" i="2"/>
  <c r="C12" i="2"/>
  <c r="C24" i="2"/>
  <c r="C16" i="2"/>
  <c r="C18" i="2"/>
  <c r="C9" i="2"/>
  <c r="C15" i="2"/>
  <c r="C4" i="2"/>
  <c r="C20" i="2"/>
  <c r="C6" i="2"/>
  <c r="C10" i="2"/>
  <c r="C22" i="2"/>
  <c r="C19" i="2"/>
  <c r="C2" i="2"/>
  <c r="C11" i="2"/>
  <c r="C25" i="2"/>
  <c r="F2" i="2" l="1"/>
  <c r="F46" i="2"/>
  <c r="F49" i="2"/>
  <c r="F3" i="2"/>
  <c r="F19" i="2"/>
  <c r="F35" i="2"/>
  <c r="F6" i="2"/>
  <c r="F22" i="2"/>
  <c r="F26" i="2"/>
  <c r="F27" i="2"/>
  <c r="F28" i="2"/>
  <c r="F13" i="2"/>
  <c r="F29" i="2"/>
  <c r="F45" i="2"/>
  <c r="F4" i="2"/>
  <c r="F20" i="2"/>
  <c r="F36" i="2"/>
  <c r="F41" i="2"/>
  <c r="F31" i="2"/>
  <c r="F18" i="2"/>
  <c r="F5" i="2"/>
  <c r="F21" i="2"/>
  <c r="F37" i="2"/>
  <c r="F38" i="2"/>
  <c r="F10" i="2"/>
  <c r="F44" i="2"/>
  <c r="F25" i="2"/>
  <c r="F33" i="2"/>
  <c r="F7" i="2"/>
  <c r="F23" i="2"/>
  <c r="F39" i="2"/>
  <c r="F8" i="2"/>
  <c r="F24" i="2"/>
  <c r="F40" i="2"/>
  <c r="F9" i="2"/>
  <c r="F42" i="2"/>
  <c r="F11" i="2"/>
  <c r="F43" i="2"/>
  <c r="F12" i="2"/>
  <c r="F47" i="2"/>
  <c r="F16" i="2"/>
  <c r="F32" i="2"/>
  <c r="F48" i="2"/>
  <c r="F34" i="2"/>
  <c r="F14" i="2"/>
  <c r="F30" i="2"/>
  <c r="F15" i="2"/>
  <c r="F1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C0D840-14A2-4660-B7B7-C73D795E1D8E}" keepAlive="1" name="Query - Tabel1" description="Verbinding maken met de query Tabel1 in de werkmap." type="5" refreshedVersion="0" background="1" saveData="1">
    <dbPr connection="Provider=Microsoft.Mashup.OleDb.1;Data Source=$Workbook$;Location=Tabel1;Extended Properties=&quot;&quot;" command="SELECT * FROM [Tabel1]"/>
  </connection>
</connections>
</file>

<file path=xl/sharedStrings.xml><?xml version="1.0" encoding="utf-8"?>
<sst xmlns="http://schemas.openxmlformats.org/spreadsheetml/2006/main" count="62" uniqueCount="61">
  <si>
    <t>Zwitserland</t>
  </si>
  <si>
    <t>Engeland</t>
  </si>
  <si>
    <t>Nederland</t>
  </si>
  <si>
    <t>Kroatië</t>
  </si>
  <si>
    <t>België</t>
  </si>
  <si>
    <t>Portugal</t>
  </si>
  <si>
    <t>Frankrijk</t>
  </si>
  <si>
    <t>Duitsland</t>
  </si>
  <si>
    <t>Land</t>
  </si>
  <si>
    <t>Waarde</t>
  </si>
  <si>
    <t>Plaats</t>
  </si>
  <si>
    <t>Bonusvragen</t>
  </si>
  <si>
    <t>Antwoord</t>
  </si>
  <si>
    <t>Aantal gele kaarten</t>
  </si>
  <si>
    <t>Deze lijst mag vervolgens verstuurd worden naar lagerweykevin@hotmail.com of tychoberndt@hotmail.com</t>
  </si>
  <si>
    <t>Schotland</t>
  </si>
  <si>
    <t>Spanje</t>
  </si>
  <si>
    <t>Oostenrijk</t>
  </si>
  <si>
    <t>Turkije</t>
  </si>
  <si>
    <t>Tsjechië</t>
  </si>
  <si>
    <t>Mexico</t>
  </si>
  <si>
    <t>Zuid-Afrika</t>
  </si>
  <si>
    <t>Zuid-Korea</t>
  </si>
  <si>
    <t>Canada</t>
  </si>
  <si>
    <t>Bosnië-Herzegovina</t>
  </si>
  <si>
    <t>Qatar</t>
  </si>
  <si>
    <t>Brazilië</t>
  </si>
  <si>
    <t>Marokko</t>
  </si>
  <si>
    <t>Haïti</t>
  </si>
  <si>
    <t>Verenigde Staten</t>
  </si>
  <si>
    <t>Paraguay</t>
  </si>
  <si>
    <t>Australië</t>
  </si>
  <si>
    <t>Curacao</t>
  </si>
  <si>
    <t>Ivoorkust</t>
  </si>
  <si>
    <t>Ecuador</t>
  </si>
  <si>
    <t>Japan</t>
  </si>
  <si>
    <t>Zweden</t>
  </si>
  <si>
    <t>Tunesië</t>
  </si>
  <si>
    <t>Egypte</t>
  </si>
  <si>
    <t>Iran</t>
  </si>
  <si>
    <t>Nieuw-Zeeland</t>
  </si>
  <si>
    <t>Kaapverdië</t>
  </si>
  <si>
    <t>Saoedi-Arabië</t>
  </si>
  <si>
    <t>Uruguay</t>
  </si>
  <si>
    <t>Senegal</t>
  </si>
  <si>
    <t>Noorwegen</t>
  </si>
  <si>
    <t>Irak</t>
  </si>
  <si>
    <t>Argentinië</t>
  </si>
  <si>
    <t>Algerije</t>
  </si>
  <si>
    <t>Jordanië</t>
  </si>
  <si>
    <t>Congo</t>
  </si>
  <si>
    <t>Oezbekistan</t>
  </si>
  <si>
    <t>Colombia</t>
  </si>
  <si>
    <t>Ghana</t>
  </si>
  <si>
    <t>Panama</t>
  </si>
  <si>
    <t>INVULLIJST WK2026</t>
  </si>
  <si>
    <t>Eerste doelpuntenmaker van Nederland</t>
  </si>
  <si>
    <t>Aantal doelpunten NL</t>
  </si>
  <si>
    <t>Aantal doelpunten totaal</t>
  </si>
  <si>
    <t>Topscorer WK 2026</t>
  </si>
  <si>
    <t>Let op: Je moet het dropdown-menu gebruiken waarmee landen geselecteerd kunnen worden!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</si>
</sst>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9"/>
      <color theme="1"/>
      <name val="Verdana"/>
      <family val="2"/>
    </font>
    <font>
      <b/>
      <sz val="9"/>
      <color theme="1"/>
      <name val="Verdana"/>
      <family val="2"/>
    </font>
    <font>
      <b/>
      <sz val="24"/>
      <color theme="1"/>
      <name val="Verdana"/>
      <family val="2"/>
    </font>
    <font>
      <b/>
      <sz val="11"/>
      <color theme="1"/>
      <name val="Verdana"/>
      <family val="2"/>
    </font>
    <font>
      <b/>
      <sz val="9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2" fillId="2" borderId="0" xfId="0" applyFont="1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4" fillId="3" borderId="5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/>
    </xf>
    <xf numFmtId="0" fontId="0" fillId="2" borderId="7" xfId="0" applyFill="1" applyBorder="1" applyAlignment="1">
      <alignment horizontal="center"/>
    </xf>
  </cellXfs>
  <cellStyles count="1">
    <cellStyle name="Standaard" xfId="0" builtinId="0"/>
  </cellStyles>
  <dxfs count="6"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9"/>
        <color auto="1"/>
        <name val="Verdana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A4A49C-7142-436F-B4E1-572EDFDF4277}" name="Tabel1" displayName="Tabel1" ref="B7:D56" totalsRowShown="0" headerRowDxfId="5" headerRowBorderDxfId="4" tableBorderDxfId="3">
  <autoFilter ref="B7:D56" xr:uid="{90A4A49C-7142-436F-B4E1-572EDFDF4277}"/>
  <tableColumns count="3">
    <tableColumn id="1" xr3:uid="{445B0CD0-5831-4248-9A92-4D6F593BB40F}" name="Plaats" dataDxfId="2"/>
    <tableColumn id="2" xr3:uid="{A74A158A-B213-4CDE-BFEA-F541C509A15D}" name="Land" dataDxfId="1"/>
    <tableColumn id="3" xr3:uid="{9A25EF76-8888-4BCE-B512-D7243EF8C4E7}" name="Waarde" dataDxfId="0"/>
  </tableColumns>
  <tableStyleInfo name="TableStyleLight8" showFirstColumn="0" showLastColumn="0" showRowStripes="0" showColumnStripes="0"/>
</table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56"/>
  <sheetViews>
    <sheetView showGridLines="0" tabSelected="1" topLeftCell="A2" zoomScaleNormal="100" workbookViewId="0">
      <selection activeCell="F16" sqref="F16"/>
    </sheetView>
  </sheetViews>
  <sheetFormatPr defaultColWidth="9" defaultRowHeight="11.5" x14ac:dyDescent="0.25"/>
  <cols>
    <col min="1" max="1" width="3.90625" style="1" customWidth="1"/>
    <col min="2" max="2" width="9" style="1"/>
    <col min="3" max="3" width="19.36328125" style="1" customWidth="1"/>
    <col min="4" max="4" width="10" style="1" customWidth="1"/>
    <col min="5" max="5" width="9" style="1"/>
    <col min="6" max="6" width="34" style="1" bestFit="1" customWidth="1"/>
    <col min="7" max="7" width="17.26953125" style="1" customWidth="1"/>
    <col min="8" max="16384" width="9" style="1"/>
  </cols>
  <sheetData>
    <row r="1" spans="2:7" ht="48.75" customHeight="1" x14ac:dyDescent="0.6">
      <c r="B1" s="8" t="s">
        <v>55</v>
      </c>
    </row>
    <row r="2" spans="2:7" ht="15.75" customHeight="1" x14ac:dyDescent="0.25"/>
    <row r="3" spans="2:7" ht="15.75" customHeight="1" x14ac:dyDescent="0.25">
      <c r="B3" s="9" t="s">
        <v>60</v>
      </c>
    </row>
    <row r="4" spans="2:7" ht="18.75" customHeight="1" x14ac:dyDescent="0.25">
      <c r="B4" s="9" t="s">
        <v>14</v>
      </c>
    </row>
    <row r="5" spans="2:7" ht="13.5" customHeight="1" x14ac:dyDescent="0.25">
      <c r="B5" s="9"/>
    </row>
    <row r="6" spans="2:7" ht="12" thickBot="1" x14ac:dyDescent="0.3"/>
    <row r="7" spans="2:7" ht="21" customHeight="1" thickBot="1" x14ac:dyDescent="0.3">
      <c r="B7" s="11" t="s">
        <v>10</v>
      </c>
      <c r="C7" s="13" t="s">
        <v>8</v>
      </c>
      <c r="D7" s="11" t="s">
        <v>9</v>
      </c>
      <c r="E7" s="6"/>
      <c r="F7" s="7" t="s">
        <v>11</v>
      </c>
      <c r="G7" s="5" t="s">
        <v>12</v>
      </c>
    </row>
    <row r="8" spans="2:7" x14ac:dyDescent="0.25">
      <c r="B8" s="12">
        <v>1</v>
      </c>
      <c r="C8" s="2"/>
      <c r="D8" s="12">
        <v>150</v>
      </c>
      <c r="F8" s="2" t="s">
        <v>13</v>
      </c>
      <c r="G8" s="2"/>
    </row>
    <row r="9" spans="2:7" x14ac:dyDescent="0.25">
      <c r="B9" s="10">
        <v>2</v>
      </c>
      <c r="C9" s="3"/>
      <c r="D9" s="10">
        <v>135</v>
      </c>
      <c r="F9" s="3" t="s">
        <v>58</v>
      </c>
      <c r="G9" s="3"/>
    </row>
    <row r="10" spans="2:7" x14ac:dyDescent="0.25">
      <c r="B10" s="14">
        <v>3</v>
      </c>
      <c r="C10" s="3"/>
      <c r="D10" s="15">
        <v>125</v>
      </c>
      <c r="F10" s="3" t="s">
        <v>59</v>
      </c>
      <c r="G10" s="14"/>
    </row>
    <row r="11" spans="2:7" x14ac:dyDescent="0.25">
      <c r="B11" s="14">
        <v>4</v>
      </c>
      <c r="C11" s="3"/>
      <c r="D11" s="15">
        <v>120</v>
      </c>
      <c r="F11" s="3" t="s">
        <v>56</v>
      </c>
      <c r="G11" s="3"/>
    </row>
    <row r="12" spans="2:7" ht="12" thickBot="1" x14ac:dyDescent="0.3">
      <c r="B12" s="14">
        <v>5</v>
      </c>
      <c r="C12" s="3"/>
      <c r="D12" s="15">
        <v>115</v>
      </c>
      <c r="F12" s="4" t="s">
        <v>57</v>
      </c>
      <c r="G12" s="4"/>
    </row>
    <row r="13" spans="2:7" x14ac:dyDescent="0.25">
      <c r="B13" s="14">
        <v>6</v>
      </c>
      <c r="C13" s="3"/>
      <c r="D13" s="15">
        <v>110</v>
      </c>
    </row>
    <row r="14" spans="2:7" x14ac:dyDescent="0.25">
      <c r="B14" s="14">
        <v>7</v>
      </c>
      <c r="C14" s="3"/>
      <c r="D14" s="15">
        <v>105</v>
      </c>
    </row>
    <row r="15" spans="2:7" x14ac:dyDescent="0.25">
      <c r="B15" s="14">
        <v>8</v>
      </c>
      <c r="C15" s="3"/>
      <c r="D15" s="15">
        <v>100</v>
      </c>
    </row>
    <row r="16" spans="2:7" x14ac:dyDescent="0.25">
      <c r="B16" s="14">
        <v>9</v>
      </c>
      <c r="C16" s="3"/>
      <c r="D16" s="15">
        <v>95</v>
      </c>
    </row>
    <row r="17" spans="2:4" x14ac:dyDescent="0.25">
      <c r="B17" s="14">
        <v>10</v>
      </c>
      <c r="C17" s="3"/>
      <c r="D17" s="15">
        <v>91</v>
      </c>
    </row>
    <row r="18" spans="2:4" x14ac:dyDescent="0.25">
      <c r="B18" s="14">
        <v>11</v>
      </c>
      <c r="C18" s="3"/>
      <c r="D18" s="15">
        <v>87</v>
      </c>
    </row>
    <row r="19" spans="2:4" x14ac:dyDescent="0.25">
      <c r="B19" s="14">
        <v>12</v>
      </c>
      <c r="C19" s="3"/>
      <c r="D19" s="15">
        <v>83</v>
      </c>
    </row>
    <row r="20" spans="2:4" x14ac:dyDescent="0.25">
      <c r="B20" s="14">
        <v>13</v>
      </c>
      <c r="C20" s="3"/>
      <c r="D20" s="15">
        <v>79</v>
      </c>
    </row>
    <row r="21" spans="2:4" x14ac:dyDescent="0.25">
      <c r="B21" s="14">
        <v>14</v>
      </c>
      <c r="C21" s="3"/>
      <c r="D21" s="15">
        <v>75</v>
      </c>
    </row>
    <row r="22" spans="2:4" x14ac:dyDescent="0.25">
      <c r="B22" s="14">
        <v>15</v>
      </c>
      <c r="C22" s="3"/>
      <c r="D22" s="15">
        <v>71</v>
      </c>
    </row>
    <row r="23" spans="2:4" x14ac:dyDescent="0.25">
      <c r="B23" s="14">
        <v>16</v>
      </c>
      <c r="C23" s="3"/>
      <c r="D23" s="15">
        <v>67</v>
      </c>
    </row>
    <row r="24" spans="2:4" x14ac:dyDescent="0.25">
      <c r="B24" s="14">
        <v>17</v>
      </c>
      <c r="C24" s="3"/>
      <c r="D24" s="15">
        <v>63</v>
      </c>
    </row>
    <row r="25" spans="2:4" x14ac:dyDescent="0.25">
      <c r="B25" s="14">
        <v>18</v>
      </c>
      <c r="C25" s="3"/>
      <c r="D25" s="15">
        <v>59</v>
      </c>
    </row>
    <row r="26" spans="2:4" x14ac:dyDescent="0.25">
      <c r="B26" s="14">
        <v>19</v>
      </c>
      <c r="C26" s="3"/>
      <c r="D26" s="15">
        <v>55</v>
      </c>
    </row>
    <row r="27" spans="2:4" x14ac:dyDescent="0.25">
      <c r="B27" s="14">
        <v>20</v>
      </c>
      <c r="C27" s="3"/>
      <c r="D27" s="15">
        <v>52</v>
      </c>
    </row>
    <row r="28" spans="2:4" x14ac:dyDescent="0.25">
      <c r="B28" s="14">
        <v>21</v>
      </c>
      <c r="C28" s="3"/>
      <c r="D28" s="15">
        <v>49</v>
      </c>
    </row>
    <row r="29" spans="2:4" x14ac:dyDescent="0.25">
      <c r="B29" s="14">
        <v>22</v>
      </c>
      <c r="C29" s="3"/>
      <c r="D29" s="15">
        <v>46</v>
      </c>
    </row>
    <row r="30" spans="2:4" x14ac:dyDescent="0.25">
      <c r="B30" s="14">
        <v>23</v>
      </c>
      <c r="C30" s="3"/>
      <c r="D30" s="15">
        <v>43</v>
      </c>
    </row>
    <row r="31" spans="2:4" x14ac:dyDescent="0.25">
      <c r="B31" s="14">
        <v>24</v>
      </c>
      <c r="C31" s="3"/>
      <c r="D31" s="15">
        <v>40</v>
      </c>
    </row>
    <row r="32" spans="2:4" x14ac:dyDescent="0.25">
      <c r="B32" s="14">
        <v>25</v>
      </c>
      <c r="C32" s="3"/>
      <c r="D32" s="15">
        <v>37</v>
      </c>
    </row>
    <row r="33" spans="2:4" x14ac:dyDescent="0.25">
      <c r="B33" s="14">
        <v>26</v>
      </c>
      <c r="C33" s="3"/>
      <c r="D33" s="15">
        <v>34</v>
      </c>
    </row>
    <row r="34" spans="2:4" x14ac:dyDescent="0.25">
      <c r="B34" s="14">
        <v>27</v>
      </c>
      <c r="C34" s="3"/>
      <c r="D34" s="15">
        <v>31</v>
      </c>
    </row>
    <row r="35" spans="2:4" x14ac:dyDescent="0.25">
      <c r="B35" s="14">
        <v>28</v>
      </c>
      <c r="C35" s="3"/>
      <c r="D35" s="15">
        <v>28</v>
      </c>
    </row>
    <row r="36" spans="2:4" x14ac:dyDescent="0.25">
      <c r="B36" s="14">
        <v>29</v>
      </c>
      <c r="C36" s="3"/>
      <c r="D36" s="15">
        <v>25</v>
      </c>
    </row>
    <row r="37" spans="2:4" x14ac:dyDescent="0.25">
      <c r="B37" s="14">
        <v>30</v>
      </c>
      <c r="C37" s="3"/>
      <c r="D37" s="15">
        <v>23</v>
      </c>
    </row>
    <row r="38" spans="2:4" x14ac:dyDescent="0.25">
      <c r="B38" s="14">
        <v>31</v>
      </c>
      <c r="C38" s="3"/>
      <c r="D38" s="15">
        <v>21</v>
      </c>
    </row>
    <row r="39" spans="2:4" x14ac:dyDescent="0.25">
      <c r="B39" s="14">
        <v>32</v>
      </c>
      <c r="C39" s="3"/>
      <c r="D39" s="15">
        <v>19</v>
      </c>
    </row>
    <row r="40" spans="2:4" x14ac:dyDescent="0.25">
      <c r="B40" s="14">
        <v>33</v>
      </c>
      <c r="C40" s="3"/>
      <c r="D40" s="15">
        <v>17</v>
      </c>
    </row>
    <row r="41" spans="2:4" x14ac:dyDescent="0.25">
      <c r="B41" s="14">
        <v>34</v>
      </c>
      <c r="C41" s="3"/>
      <c r="D41" s="15">
        <v>15</v>
      </c>
    </row>
    <row r="42" spans="2:4" x14ac:dyDescent="0.25">
      <c r="B42" s="14">
        <v>35</v>
      </c>
      <c r="C42" s="3"/>
      <c r="D42" s="15">
        <v>14</v>
      </c>
    </row>
    <row r="43" spans="2:4" x14ac:dyDescent="0.25">
      <c r="B43" s="14">
        <v>36</v>
      </c>
      <c r="C43" s="3"/>
      <c r="D43" s="15">
        <v>13</v>
      </c>
    </row>
    <row r="44" spans="2:4" x14ac:dyDescent="0.25">
      <c r="B44" s="14">
        <v>37</v>
      </c>
      <c r="C44" s="3"/>
      <c r="D44" s="15">
        <v>12</v>
      </c>
    </row>
    <row r="45" spans="2:4" x14ac:dyDescent="0.25">
      <c r="B45" s="14">
        <v>38</v>
      </c>
      <c r="C45" s="3"/>
      <c r="D45" s="15">
        <v>11</v>
      </c>
    </row>
    <row r="46" spans="2:4" x14ac:dyDescent="0.25">
      <c r="B46" s="14">
        <v>39</v>
      </c>
      <c r="C46" s="3"/>
      <c r="D46" s="15">
        <v>10</v>
      </c>
    </row>
    <row r="47" spans="2:4" x14ac:dyDescent="0.25">
      <c r="B47" s="14">
        <v>40</v>
      </c>
      <c r="C47" s="3"/>
      <c r="D47" s="15">
        <v>9</v>
      </c>
    </row>
    <row r="48" spans="2:4" x14ac:dyDescent="0.25">
      <c r="B48" s="14">
        <v>41</v>
      </c>
      <c r="C48" s="3"/>
      <c r="D48" s="15">
        <v>8</v>
      </c>
    </row>
    <row r="49" spans="2:4" x14ac:dyDescent="0.25">
      <c r="B49" s="14">
        <v>42</v>
      </c>
      <c r="C49" s="3"/>
      <c r="D49" s="15">
        <v>7</v>
      </c>
    </row>
    <row r="50" spans="2:4" x14ac:dyDescent="0.25">
      <c r="B50" s="14">
        <v>43</v>
      </c>
      <c r="C50" s="3"/>
      <c r="D50" s="15">
        <v>6</v>
      </c>
    </row>
    <row r="51" spans="2:4" x14ac:dyDescent="0.25">
      <c r="B51" s="14">
        <v>44</v>
      </c>
      <c r="C51" s="3"/>
      <c r="D51" s="15">
        <v>5</v>
      </c>
    </row>
    <row r="52" spans="2:4" x14ac:dyDescent="0.25">
      <c r="B52" s="14">
        <v>45</v>
      </c>
      <c r="C52" s="3"/>
      <c r="D52" s="15">
        <v>4</v>
      </c>
    </row>
    <row r="53" spans="2:4" x14ac:dyDescent="0.25">
      <c r="B53" s="14">
        <v>46</v>
      </c>
      <c r="C53" s="3"/>
      <c r="D53" s="15">
        <v>3</v>
      </c>
    </row>
    <row r="54" spans="2:4" x14ac:dyDescent="0.25">
      <c r="B54" s="14">
        <v>47</v>
      </c>
      <c r="C54" s="3"/>
      <c r="D54" s="15">
        <v>2</v>
      </c>
    </row>
    <row r="55" spans="2:4" x14ac:dyDescent="0.25">
      <c r="B55" s="14">
        <v>48</v>
      </c>
      <c r="C55" s="3"/>
      <c r="D55" s="15">
        <v>1</v>
      </c>
    </row>
    <row r="56" spans="2:4" x14ac:dyDescent="0.25">
      <c r="B56" s="14"/>
      <c r="C56" s="3"/>
      <c r="D56" s="15"/>
    </row>
  </sheetData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EA656B4-3949-45C2-962D-BA0EB34F2768}">
          <x14:formula1>
            <xm:f>Landen!$F$2:$F$49</xm:f>
          </x14:formula1>
          <xm:sqref>C8:C55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9"/>
  <sheetViews>
    <sheetView topLeftCell="A34" workbookViewId="0">
      <selection activeCell="A45" sqref="A45"/>
    </sheetView>
  </sheetViews>
  <sheetFormatPr defaultRowHeight="11.5" x14ac:dyDescent="0.25"/>
  <cols>
    <col min="1" max="1" width="18.26953125" bestFit="1" customWidth="1"/>
    <col min="2" max="3" width="14.7265625" customWidth="1"/>
    <col min="4" max="4" width="14.1796875" customWidth="1"/>
    <col min="6" max="6" width="18.26953125" bestFit="1" customWidth="1"/>
  </cols>
  <sheetData>
    <row r="1" spans="1:6" x14ac:dyDescent="0.25">
      <c r="A1" t="s">
        <v>8</v>
      </c>
    </row>
    <row r="2" spans="1:6" x14ac:dyDescent="0.25">
      <c r="A2" t="s">
        <v>48</v>
      </c>
      <c r="B2">
        <f t="shared" ref="B2:B49" si="0">IF(D2="",0,1)</f>
        <v>1</v>
      </c>
      <c r="C2">
        <f>IF(B2=0,"",SUM(B$2:B2))</f>
        <v>1</v>
      </c>
      <c r="D2" t="str">
        <f>IF(COUNTIF(Invullijst!C:C,A2)&gt;=1,"",A2)</f>
        <v>Algerije</v>
      </c>
      <c r="E2">
        <v>1</v>
      </c>
      <c r="F2" t="str">
        <f>IFERROR(VLOOKUP(E2,$C$2:$D$49,2,0),"")</f>
        <v>Algerije</v>
      </c>
    </row>
    <row r="3" spans="1:6" x14ac:dyDescent="0.25">
      <c r="A3" t="s">
        <v>47</v>
      </c>
      <c r="B3">
        <f t="shared" si="0"/>
        <v>1</v>
      </c>
      <c r="C3">
        <f>IF(B3=0,"",SUM(B$2:B3))</f>
        <v>2</v>
      </c>
      <c r="D3" t="str">
        <f>IF(COUNTIF(Invullijst!C:C,A3)&gt;=1,"",A3)</f>
        <v>Argentinië</v>
      </c>
      <c r="E3">
        <v>2</v>
      </c>
      <c r="F3" t="str">
        <f t="shared" ref="F3:F48" si="1">IFERROR(VLOOKUP(E3,$C$2:$D$49,2,0),"")</f>
        <v>Argentinië</v>
      </c>
    </row>
    <row r="4" spans="1:6" x14ac:dyDescent="0.25">
      <c r="A4" t="s">
        <v>31</v>
      </c>
      <c r="B4">
        <f t="shared" si="0"/>
        <v>1</v>
      </c>
      <c r="C4">
        <f>IF(B4=0,"",SUM(B$2:B4))</f>
        <v>3</v>
      </c>
      <c r="D4" t="str">
        <f>IF(COUNTIF(Invullijst!C:C,A4)&gt;=1,"",A4)</f>
        <v>Australië</v>
      </c>
      <c r="E4">
        <v>3</v>
      </c>
      <c r="F4" t="str">
        <f t="shared" si="1"/>
        <v>Australië</v>
      </c>
    </row>
    <row r="5" spans="1:6" x14ac:dyDescent="0.25">
      <c r="A5" t="s">
        <v>4</v>
      </c>
      <c r="B5">
        <f t="shared" si="0"/>
        <v>1</v>
      </c>
      <c r="C5">
        <f>IF(B5=0,"",SUM(B$2:B5))</f>
        <v>4</v>
      </c>
      <c r="D5" t="str">
        <f>IF(COUNTIF(Invullijst!C:C,A5)&gt;=1,"",A5)</f>
        <v>België</v>
      </c>
      <c r="E5">
        <v>4</v>
      </c>
      <c r="F5" t="str">
        <f t="shared" si="1"/>
        <v>België</v>
      </c>
    </row>
    <row r="6" spans="1:6" x14ac:dyDescent="0.25">
      <c r="A6" t="s">
        <v>24</v>
      </c>
      <c r="B6">
        <f t="shared" si="0"/>
        <v>1</v>
      </c>
      <c r="C6">
        <f>IF(B6=0,"",SUM(B$2:B6))</f>
        <v>5</v>
      </c>
      <c r="D6" t="str">
        <f>IF(COUNTIF(Invullijst!C:C,A6)&gt;=1,"",A6)</f>
        <v>Bosnië-Herzegovina</v>
      </c>
      <c r="E6">
        <v>5</v>
      </c>
      <c r="F6" t="str">
        <f t="shared" si="1"/>
        <v>Bosnië-Herzegovina</v>
      </c>
    </row>
    <row r="7" spans="1:6" x14ac:dyDescent="0.25">
      <c r="A7" t="s">
        <v>26</v>
      </c>
      <c r="B7">
        <f t="shared" si="0"/>
        <v>1</v>
      </c>
      <c r="C7">
        <f>IF(B7=0,"",SUM(B$2:B7))</f>
        <v>6</v>
      </c>
      <c r="D7" t="str">
        <f>IF(COUNTIF(Invullijst!C:C,A7)&gt;=1,"",A7)</f>
        <v>Brazilië</v>
      </c>
      <c r="E7">
        <v>6</v>
      </c>
      <c r="F7" t="str">
        <f t="shared" si="1"/>
        <v>Brazilië</v>
      </c>
    </row>
    <row r="8" spans="1:6" x14ac:dyDescent="0.25">
      <c r="A8" t="s">
        <v>23</v>
      </c>
      <c r="B8">
        <f t="shared" si="0"/>
        <v>1</v>
      </c>
      <c r="C8">
        <f>IF(B8=0,"",SUM(B$2:B8))</f>
        <v>7</v>
      </c>
      <c r="D8" t="str">
        <f>IF(COUNTIF(Invullijst!C:C,A8)&gt;=1,"",A8)</f>
        <v>Canada</v>
      </c>
      <c r="E8">
        <v>7</v>
      </c>
      <c r="F8" t="str">
        <f t="shared" si="1"/>
        <v>Canada</v>
      </c>
    </row>
    <row r="9" spans="1:6" x14ac:dyDescent="0.25">
      <c r="A9" t="s">
        <v>52</v>
      </c>
      <c r="B9">
        <f t="shared" si="0"/>
        <v>1</v>
      </c>
      <c r="C9">
        <f>IF(B9=0,"",SUM(B$2:B9))</f>
        <v>8</v>
      </c>
      <c r="D9" t="str">
        <f>IF(COUNTIF(Invullijst!C:C,A9)&gt;=1,"",A9)</f>
        <v>Colombia</v>
      </c>
      <c r="E9">
        <v>8</v>
      </c>
      <c r="F9" t="str">
        <f t="shared" si="1"/>
        <v>Colombia</v>
      </c>
    </row>
    <row r="10" spans="1:6" x14ac:dyDescent="0.25">
      <c r="A10" t="s">
        <v>50</v>
      </c>
      <c r="B10">
        <f t="shared" si="0"/>
        <v>1</v>
      </c>
      <c r="C10">
        <f>IF(B10=0,"",SUM(B$2:B10))</f>
        <v>9</v>
      </c>
      <c r="D10" t="str">
        <f>IF(COUNTIF(Invullijst!C:C,A10)&gt;=1,"",A10)</f>
        <v>Congo</v>
      </c>
      <c r="E10">
        <v>9</v>
      </c>
      <c r="F10" t="str">
        <f t="shared" si="1"/>
        <v>Congo</v>
      </c>
    </row>
    <row r="11" spans="1:6" x14ac:dyDescent="0.25">
      <c r="A11" t="s">
        <v>32</v>
      </c>
      <c r="B11">
        <f t="shared" si="0"/>
        <v>1</v>
      </c>
      <c r="C11">
        <f>IF(B11=0,"",SUM(B$2:B11))</f>
        <v>10</v>
      </c>
      <c r="D11" t="str">
        <f>IF(COUNTIF(Invullijst!C:C,A11)&gt;=1,"",A11)</f>
        <v>Curacao</v>
      </c>
      <c r="E11">
        <v>10</v>
      </c>
      <c r="F11" t="str">
        <f t="shared" si="1"/>
        <v>Curacao</v>
      </c>
    </row>
    <row r="12" spans="1:6" x14ac:dyDescent="0.25">
      <c r="A12" t="s">
        <v>7</v>
      </c>
      <c r="B12">
        <f t="shared" si="0"/>
        <v>1</v>
      </c>
      <c r="C12">
        <f>IF(B12=0,"",SUM(B$2:B12))</f>
        <v>11</v>
      </c>
      <c r="D12" t="str">
        <f>IF(COUNTIF(Invullijst!C:C,A12)&gt;=1,"",A12)</f>
        <v>Duitsland</v>
      </c>
      <c r="E12">
        <v>11</v>
      </c>
      <c r="F12" t="str">
        <f t="shared" si="1"/>
        <v>Duitsland</v>
      </c>
    </row>
    <row r="13" spans="1:6" x14ac:dyDescent="0.25">
      <c r="A13" t="s">
        <v>34</v>
      </c>
      <c r="B13">
        <f t="shared" si="0"/>
        <v>1</v>
      </c>
      <c r="C13">
        <f>IF(B13=0,"",SUM(B$2:B13))</f>
        <v>12</v>
      </c>
      <c r="D13" t="str">
        <f>IF(COUNTIF(Invullijst!C:C,A13)&gt;=1,"",A13)</f>
        <v>Ecuador</v>
      </c>
      <c r="E13">
        <v>12</v>
      </c>
      <c r="F13" t="str">
        <f t="shared" si="1"/>
        <v>Ecuador</v>
      </c>
    </row>
    <row r="14" spans="1:6" x14ac:dyDescent="0.25">
      <c r="A14" t="s">
        <v>38</v>
      </c>
      <c r="B14">
        <f t="shared" si="0"/>
        <v>1</v>
      </c>
      <c r="C14">
        <f>IF(B14=0,"",SUM(B$2:B14))</f>
        <v>13</v>
      </c>
      <c r="D14" t="str">
        <f>IF(COUNTIF(Invullijst!C:C,A14)&gt;=1,"",A14)</f>
        <v>Egypte</v>
      </c>
      <c r="E14">
        <v>13</v>
      </c>
      <c r="F14" t="str">
        <f t="shared" si="1"/>
        <v>Egypte</v>
      </c>
    </row>
    <row r="15" spans="1:6" x14ac:dyDescent="0.25">
      <c r="A15" t="s">
        <v>1</v>
      </c>
      <c r="B15">
        <f t="shared" si="0"/>
        <v>1</v>
      </c>
      <c r="C15">
        <f>IF(B15=0,"",SUM(B$2:B15))</f>
        <v>14</v>
      </c>
      <c r="D15" t="str">
        <f>IF(COUNTIF(Invullijst!C:C,A15)&gt;=1,"",A15)</f>
        <v>Engeland</v>
      </c>
      <c r="E15">
        <v>14</v>
      </c>
      <c r="F15" t="str">
        <f t="shared" si="1"/>
        <v>Engeland</v>
      </c>
    </row>
    <row r="16" spans="1:6" x14ac:dyDescent="0.25">
      <c r="A16" t="s">
        <v>6</v>
      </c>
      <c r="B16">
        <f t="shared" si="0"/>
        <v>1</v>
      </c>
      <c r="C16">
        <f>IF(B16=0,"",SUM(B$2:B16))</f>
        <v>15</v>
      </c>
      <c r="D16" t="str">
        <f>IF(COUNTIF(Invullijst!C:C,A16)&gt;=1,"",A16)</f>
        <v>Frankrijk</v>
      </c>
      <c r="E16">
        <v>15</v>
      </c>
      <c r="F16" t="str">
        <f t="shared" si="1"/>
        <v>Frankrijk</v>
      </c>
    </row>
    <row r="17" spans="1:6" x14ac:dyDescent="0.25">
      <c r="A17" t="s">
        <v>53</v>
      </c>
      <c r="B17">
        <f t="shared" si="0"/>
        <v>1</v>
      </c>
      <c r="C17">
        <f>IF(B17=0,"",SUM(B$2:B17))</f>
        <v>16</v>
      </c>
      <c r="D17" t="str">
        <f>IF(COUNTIF(Invullijst!C:C,A17)&gt;=1,"",A17)</f>
        <v>Ghana</v>
      </c>
      <c r="E17">
        <v>16</v>
      </c>
      <c r="F17" t="str">
        <f t="shared" si="1"/>
        <v>Ghana</v>
      </c>
    </row>
    <row r="18" spans="1:6" x14ac:dyDescent="0.25">
      <c r="A18" t="s">
        <v>28</v>
      </c>
      <c r="B18">
        <f t="shared" si="0"/>
        <v>1</v>
      </c>
      <c r="C18">
        <f>IF(B18=0,"",SUM(B$2:B18))</f>
        <v>17</v>
      </c>
      <c r="D18" t="str">
        <f>IF(COUNTIF(Invullijst!C:C,A18)&gt;=1,"",A18)</f>
        <v>Haïti</v>
      </c>
      <c r="E18">
        <v>17</v>
      </c>
      <c r="F18" t="str">
        <f t="shared" si="1"/>
        <v>Haïti</v>
      </c>
    </row>
    <row r="19" spans="1:6" x14ac:dyDescent="0.25">
      <c r="A19" t="s">
        <v>46</v>
      </c>
      <c r="B19">
        <f t="shared" si="0"/>
        <v>1</v>
      </c>
      <c r="C19">
        <f>IF(B19=0,"",SUM(B$2:B19))</f>
        <v>18</v>
      </c>
      <c r="D19" t="str">
        <f>IF(COUNTIF(Invullijst!C:C,A19)&gt;=1,"",A19)</f>
        <v>Irak</v>
      </c>
      <c r="E19">
        <v>18</v>
      </c>
      <c r="F19" t="str">
        <f t="shared" si="1"/>
        <v>Irak</v>
      </c>
    </row>
    <row r="20" spans="1:6" x14ac:dyDescent="0.25">
      <c r="A20" t="s">
        <v>39</v>
      </c>
      <c r="B20">
        <f t="shared" si="0"/>
        <v>1</v>
      </c>
      <c r="C20">
        <f>IF(B20=0,"",SUM(B$2:B20))</f>
        <v>19</v>
      </c>
      <c r="D20" t="str">
        <f>IF(COUNTIF(Invullijst!C:C,A20)&gt;=1,"",A20)</f>
        <v>Iran</v>
      </c>
      <c r="E20">
        <v>19</v>
      </c>
      <c r="F20" t="str">
        <f t="shared" si="1"/>
        <v>Iran</v>
      </c>
    </row>
    <row r="21" spans="1:6" x14ac:dyDescent="0.25">
      <c r="A21" t="s">
        <v>33</v>
      </c>
      <c r="B21">
        <f t="shared" si="0"/>
        <v>1</v>
      </c>
      <c r="C21">
        <f>IF(B21=0,"",SUM(B$2:B21))</f>
        <v>20</v>
      </c>
      <c r="D21" t="str">
        <f>IF(COUNTIF(Invullijst!C:C,A21)&gt;=1,"",A21)</f>
        <v>Ivoorkust</v>
      </c>
      <c r="E21">
        <v>20</v>
      </c>
      <c r="F21" t="str">
        <f t="shared" si="1"/>
        <v>Ivoorkust</v>
      </c>
    </row>
    <row r="22" spans="1:6" x14ac:dyDescent="0.25">
      <c r="A22" t="s">
        <v>35</v>
      </c>
      <c r="B22">
        <f t="shared" si="0"/>
        <v>1</v>
      </c>
      <c r="C22">
        <f>IF(B22=0,"",SUM(B$2:B22))</f>
        <v>21</v>
      </c>
      <c r="D22" t="str">
        <f>IF(COUNTIF(Invullijst!C:C,A22)&gt;=1,"",A22)</f>
        <v>Japan</v>
      </c>
      <c r="E22">
        <v>21</v>
      </c>
      <c r="F22" t="str">
        <f t="shared" si="1"/>
        <v>Japan</v>
      </c>
    </row>
    <row r="23" spans="1:6" x14ac:dyDescent="0.25">
      <c r="A23" t="s">
        <v>49</v>
      </c>
      <c r="B23">
        <f t="shared" si="0"/>
        <v>1</v>
      </c>
      <c r="C23">
        <f>IF(B23=0,"",SUM(B$2:B23))</f>
        <v>22</v>
      </c>
      <c r="D23" t="str">
        <f>IF(COUNTIF(Invullijst!C:C,A23)&gt;=1,"",A23)</f>
        <v>Jordanië</v>
      </c>
      <c r="E23">
        <v>22</v>
      </c>
      <c r="F23" t="str">
        <f t="shared" si="1"/>
        <v>Jordanië</v>
      </c>
    </row>
    <row r="24" spans="1:6" x14ac:dyDescent="0.25">
      <c r="A24" t="s">
        <v>41</v>
      </c>
      <c r="B24">
        <f t="shared" si="0"/>
        <v>1</v>
      </c>
      <c r="C24">
        <f>IF(B24=0,"",SUM(B$2:B24))</f>
        <v>23</v>
      </c>
      <c r="D24" t="str">
        <f>IF(COUNTIF(Invullijst!C:C,A24)&gt;=1,"",A24)</f>
        <v>Kaapverdië</v>
      </c>
      <c r="E24">
        <v>23</v>
      </c>
      <c r="F24" t="str">
        <f t="shared" si="1"/>
        <v>Kaapverdië</v>
      </c>
    </row>
    <row r="25" spans="1:6" x14ac:dyDescent="0.25">
      <c r="A25" t="s">
        <v>3</v>
      </c>
      <c r="B25">
        <f t="shared" si="0"/>
        <v>1</v>
      </c>
      <c r="C25">
        <f>IF(B25=0,"",SUM(B$2:B25))</f>
        <v>24</v>
      </c>
      <c r="D25" t="str">
        <f>IF(COUNTIF(Invullijst!C:C,A25)&gt;=1,"",A25)</f>
        <v>Kroatië</v>
      </c>
      <c r="E25">
        <v>24</v>
      </c>
      <c r="F25" t="str">
        <f t="shared" si="1"/>
        <v>Kroatië</v>
      </c>
    </row>
    <row r="26" spans="1:6" x14ac:dyDescent="0.25">
      <c r="A26" t="s">
        <v>27</v>
      </c>
      <c r="B26">
        <f t="shared" si="0"/>
        <v>1</v>
      </c>
      <c r="C26">
        <f>IF(B26=0,"",SUM(B$2:B26))</f>
        <v>25</v>
      </c>
      <c r="D26" t="str">
        <f>IF(COUNTIF(Invullijst!C:C,A26)&gt;=1,"",A26)</f>
        <v>Marokko</v>
      </c>
      <c r="E26">
        <v>25</v>
      </c>
      <c r="F26" t="str">
        <f t="shared" si="1"/>
        <v>Marokko</v>
      </c>
    </row>
    <row r="27" spans="1:6" x14ac:dyDescent="0.25">
      <c r="A27" t="s">
        <v>20</v>
      </c>
      <c r="B27">
        <f t="shared" si="0"/>
        <v>1</v>
      </c>
      <c r="C27">
        <f>IF(B27=0,"",SUM(B$2:B27))</f>
        <v>26</v>
      </c>
      <c r="D27" t="str">
        <f>IF(COUNTIF(Invullijst!C:C,A27)&gt;=1,"",A27)</f>
        <v>Mexico</v>
      </c>
      <c r="E27">
        <v>26</v>
      </c>
      <c r="F27" t="str">
        <f t="shared" si="1"/>
        <v>Mexico</v>
      </c>
    </row>
    <row r="28" spans="1:6" x14ac:dyDescent="0.25">
      <c r="A28" t="s">
        <v>2</v>
      </c>
      <c r="B28">
        <f t="shared" si="0"/>
        <v>1</v>
      </c>
      <c r="C28">
        <f>IF(B28=0,"",SUM(B$2:B28))</f>
        <v>27</v>
      </c>
      <c r="D28" t="str">
        <f>IF(COUNTIF(Invullijst!C:C,A28)&gt;=1,"",A28)</f>
        <v>Nederland</v>
      </c>
      <c r="E28">
        <v>27</v>
      </c>
      <c r="F28" t="str">
        <f t="shared" si="1"/>
        <v>Nederland</v>
      </c>
    </row>
    <row r="29" spans="1:6" x14ac:dyDescent="0.25">
      <c r="A29" t="s">
        <v>40</v>
      </c>
      <c r="B29">
        <f t="shared" si="0"/>
        <v>1</v>
      </c>
      <c r="C29">
        <f>IF(B29=0,"",SUM(B$2:B29))</f>
        <v>28</v>
      </c>
      <c r="D29" t="str">
        <f>IF(COUNTIF(Invullijst!C:C,A29)&gt;=1,"",A29)</f>
        <v>Nieuw-Zeeland</v>
      </c>
      <c r="E29">
        <v>28</v>
      </c>
      <c r="F29" t="str">
        <f t="shared" si="1"/>
        <v>Nieuw-Zeeland</v>
      </c>
    </row>
    <row r="30" spans="1:6" x14ac:dyDescent="0.25">
      <c r="A30" t="s">
        <v>45</v>
      </c>
      <c r="B30">
        <f t="shared" si="0"/>
        <v>1</v>
      </c>
      <c r="C30">
        <f>IF(B30=0,"",SUM(B$2:B30))</f>
        <v>29</v>
      </c>
      <c r="D30" t="str">
        <f>IF(COUNTIF(Invullijst!C:C,A30)&gt;=1,"",A30)</f>
        <v>Noorwegen</v>
      </c>
      <c r="E30">
        <v>29</v>
      </c>
      <c r="F30" t="str">
        <f t="shared" si="1"/>
        <v>Noorwegen</v>
      </c>
    </row>
    <row r="31" spans="1:6" x14ac:dyDescent="0.25">
      <c r="A31" t="s">
        <v>51</v>
      </c>
      <c r="B31">
        <f t="shared" si="0"/>
        <v>1</v>
      </c>
      <c r="C31">
        <f>IF(B31=0,"",SUM(B$2:B31))</f>
        <v>30</v>
      </c>
      <c r="D31" t="str">
        <f>IF(COUNTIF(Invullijst!C:C,A31)&gt;=1,"",A31)</f>
        <v>Oezbekistan</v>
      </c>
      <c r="E31">
        <v>30</v>
      </c>
      <c r="F31" t="str">
        <f t="shared" si="1"/>
        <v>Oezbekistan</v>
      </c>
    </row>
    <row r="32" spans="1:6" x14ac:dyDescent="0.25">
      <c r="A32" t="s">
        <v>17</v>
      </c>
      <c r="B32">
        <f t="shared" si="0"/>
        <v>1</v>
      </c>
      <c r="C32">
        <f>IF(B32=0,"",SUM(B$2:B32))</f>
        <v>31</v>
      </c>
      <c r="D32" t="str">
        <f>IF(COUNTIF(Invullijst!C:C,A32)&gt;=1,"",A32)</f>
        <v>Oostenrijk</v>
      </c>
      <c r="E32">
        <v>31</v>
      </c>
      <c r="F32" t="str">
        <f t="shared" si="1"/>
        <v>Oostenrijk</v>
      </c>
    </row>
    <row r="33" spans="1:6" x14ac:dyDescent="0.25">
      <c r="A33" t="s">
        <v>54</v>
      </c>
      <c r="B33">
        <f t="shared" si="0"/>
        <v>1</v>
      </c>
      <c r="C33">
        <f>IF(B33=0,"",SUM(B$2:B33))</f>
        <v>32</v>
      </c>
      <c r="D33" t="str">
        <f>IF(COUNTIF(Invullijst!C:C,A33)&gt;=1,"",A33)</f>
        <v>Panama</v>
      </c>
      <c r="E33">
        <v>32</v>
      </c>
      <c r="F33" t="str">
        <f t="shared" si="1"/>
        <v>Panama</v>
      </c>
    </row>
    <row r="34" spans="1:6" x14ac:dyDescent="0.25">
      <c r="A34" t="s">
        <v>30</v>
      </c>
      <c r="B34">
        <f t="shared" si="0"/>
        <v>1</v>
      </c>
      <c r="C34">
        <f>IF(B34=0,"",SUM(B$2:B34))</f>
        <v>33</v>
      </c>
      <c r="D34" t="str">
        <f>IF(COUNTIF(Invullijst!C:C,A34)&gt;=1,"",A34)</f>
        <v>Paraguay</v>
      </c>
      <c r="E34">
        <v>33</v>
      </c>
      <c r="F34" t="str">
        <f t="shared" si="1"/>
        <v>Paraguay</v>
      </c>
    </row>
    <row r="35" spans="1:6" x14ac:dyDescent="0.25">
      <c r="A35" t="s">
        <v>5</v>
      </c>
      <c r="B35">
        <f t="shared" si="0"/>
        <v>1</v>
      </c>
      <c r="C35">
        <f>IF(B35=0,"",SUM(B$2:B35))</f>
        <v>34</v>
      </c>
      <c r="D35" t="str">
        <f>IF(COUNTIF(Invullijst!C:C,A35)&gt;=1,"",A35)</f>
        <v>Portugal</v>
      </c>
      <c r="E35">
        <v>34</v>
      </c>
      <c r="F35" t="str">
        <f t="shared" si="1"/>
        <v>Portugal</v>
      </c>
    </row>
    <row r="36" spans="1:6" x14ac:dyDescent="0.25">
      <c r="A36" t="s">
        <v>25</v>
      </c>
      <c r="B36">
        <f t="shared" si="0"/>
        <v>1</v>
      </c>
      <c r="C36">
        <f>IF(B36=0,"",SUM(B$2:B36))</f>
        <v>35</v>
      </c>
      <c r="D36" t="str">
        <f>IF(COUNTIF(Invullijst!C:C,A36)&gt;=1,"",A36)</f>
        <v>Qatar</v>
      </c>
      <c r="E36">
        <v>35</v>
      </c>
      <c r="F36" t="str">
        <f t="shared" si="1"/>
        <v>Qatar</v>
      </c>
    </row>
    <row r="37" spans="1:6" x14ac:dyDescent="0.25">
      <c r="A37" t="s">
        <v>42</v>
      </c>
      <c r="B37">
        <f t="shared" si="0"/>
        <v>1</v>
      </c>
      <c r="C37">
        <f>IF(B37=0,"",SUM(B$2:B37))</f>
        <v>36</v>
      </c>
      <c r="D37" t="str">
        <f>IF(COUNTIF(Invullijst!C:C,A37)&gt;=1,"",A37)</f>
        <v>Saoedi-Arabië</v>
      </c>
      <c r="E37">
        <v>36</v>
      </c>
      <c r="F37" t="str">
        <f t="shared" si="1"/>
        <v>Saoedi-Arabië</v>
      </c>
    </row>
    <row r="38" spans="1:6" x14ac:dyDescent="0.25">
      <c r="A38" t="s">
        <v>15</v>
      </c>
      <c r="B38">
        <f t="shared" si="0"/>
        <v>1</v>
      </c>
      <c r="C38">
        <f>IF(B38=0,"",SUM(B$2:B38))</f>
        <v>37</v>
      </c>
      <c r="D38" t="str">
        <f>IF(COUNTIF(Invullijst!C:C,A38)&gt;=1,"",A38)</f>
        <v>Schotland</v>
      </c>
      <c r="E38">
        <v>37</v>
      </c>
      <c r="F38" t="str">
        <f t="shared" si="1"/>
        <v>Schotland</v>
      </c>
    </row>
    <row r="39" spans="1:6" x14ac:dyDescent="0.25">
      <c r="A39" t="s">
        <v>44</v>
      </c>
      <c r="B39">
        <f t="shared" si="0"/>
        <v>1</v>
      </c>
      <c r="C39">
        <f>IF(B39=0,"",SUM(B$2:B39))</f>
        <v>38</v>
      </c>
      <c r="D39" t="str">
        <f>IF(COUNTIF(Invullijst!C:C,A39)&gt;=1,"",A39)</f>
        <v>Senegal</v>
      </c>
      <c r="E39">
        <v>38</v>
      </c>
      <c r="F39" t="str">
        <f t="shared" si="1"/>
        <v>Senegal</v>
      </c>
    </row>
    <row r="40" spans="1:6" x14ac:dyDescent="0.25">
      <c r="A40" t="s">
        <v>16</v>
      </c>
      <c r="B40">
        <f t="shared" si="0"/>
        <v>1</v>
      </c>
      <c r="C40">
        <f>IF(B40=0,"",SUM(B$2:B40))</f>
        <v>39</v>
      </c>
      <c r="D40" t="str">
        <f>IF(COUNTIF(Invullijst!C:C,A40)&gt;=1,"",A40)</f>
        <v>Spanje</v>
      </c>
      <c r="E40">
        <v>39</v>
      </c>
      <c r="F40" t="str">
        <f t="shared" si="1"/>
        <v>Spanje</v>
      </c>
    </row>
    <row r="41" spans="1:6" x14ac:dyDescent="0.25">
      <c r="A41" t="s">
        <v>19</v>
      </c>
      <c r="B41">
        <f t="shared" si="0"/>
        <v>1</v>
      </c>
      <c r="C41">
        <f>IF(B41=0,"",SUM(B$2:B41))</f>
        <v>40</v>
      </c>
      <c r="D41" t="str">
        <f>IF(COUNTIF(Invullijst!C:C,A41)&gt;=1,"",A41)</f>
        <v>Tsjechië</v>
      </c>
      <c r="E41">
        <v>40</v>
      </c>
      <c r="F41" t="str">
        <f t="shared" si="1"/>
        <v>Tsjechië</v>
      </c>
    </row>
    <row r="42" spans="1:6" x14ac:dyDescent="0.25">
      <c r="A42" t="s">
        <v>37</v>
      </c>
      <c r="B42">
        <f t="shared" si="0"/>
        <v>1</v>
      </c>
      <c r="C42">
        <f>IF(B42=0,"",SUM(B$2:B42))</f>
        <v>41</v>
      </c>
      <c r="D42" t="str">
        <f>IF(COUNTIF(Invullijst!C:C,A42)&gt;=1,"",A42)</f>
        <v>Tunesië</v>
      </c>
      <c r="E42">
        <v>41</v>
      </c>
      <c r="F42" t="str">
        <f t="shared" si="1"/>
        <v>Tunesië</v>
      </c>
    </row>
    <row r="43" spans="1:6" x14ac:dyDescent="0.25">
      <c r="A43" t="s">
        <v>18</v>
      </c>
      <c r="B43">
        <f t="shared" si="0"/>
        <v>1</v>
      </c>
      <c r="C43">
        <f>IF(B43=0,"",SUM(B$2:B43))</f>
        <v>42</v>
      </c>
      <c r="D43" t="str">
        <f>IF(COUNTIF(Invullijst!C:C,A43)&gt;=1,"",A43)</f>
        <v>Turkije</v>
      </c>
      <c r="E43">
        <v>42</v>
      </c>
      <c r="F43" t="str">
        <f t="shared" si="1"/>
        <v>Turkije</v>
      </c>
    </row>
    <row r="44" spans="1:6" x14ac:dyDescent="0.25">
      <c r="A44" t="s">
        <v>43</v>
      </c>
      <c r="B44">
        <f t="shared" si="0"/>
        <v>1</v>
      </c>
      <c r="C44">
        <f>IF(B44=0,"",SUM(B$2:B44))</f>
        <v>43</v>
      </c>
      <c r="D44" t="str">
        <f>IF(COUNTIF(Invullijst!C:C,A44)&gt;=1,"",A44)</f>
        <v>Uruguay</v>
      </c>
      <c r="E44">
        <v>43</v>
      </c>
      <c r="F44" t="str">
        <f t="shared" si="1"/>
        <v>Uruguay</v>
      </c>
    </row>
    <row r="45" spans="1:6" x14ac:dyDescent="0.25">
      <c r="A45" t="s">
        <v>29</v>
      </c>
      <c r="B45">
        <f t="shared" si="0"/>
        <v>1</v>
      </c>
      <c r="C45">
        <f>IF(B45=0,"",SUM(B$2:B45))</f>
        <v>44</v>
      </c>
      <c r="D45" t="str">
        <f>IF(COUNTIF(Invullijst!C:C,A45)&gt;=1,"",A45)</f>
        <v>Verenigde Staten</v>
      </c>
      <c r="E45">
        <v>44</v>
      </c>
      <c r="F45" t="str">
        <f t="shared" si="1"/>
        <v>Verenigde Staten</v>
      </c>
    </row>
    <row r="46" spans="1:6" x14ac:dyDescent="0.25">
      <c r="A46" t="s">
        <v>21</v>
      </c>
      <c r="B46">
        <f t="shared" si="0"/>
        <v>1</v>
      </c>
      <c r="C46">
        <f>IF(B46=0,"",SUM(B$2:B46))</f>
        <v>45</v>
      </c>
      <c r="D46" t="str">
        <f>IF(COUNTIF(Invullijst!C:C,A46)&gt;=1,"",A46)</f>
        <v>Zuid-Afrika</v>
      </c>
      <c r="E46">
        <v>45</v>
      </c>
      <c r="F46" t="str">
        <f>IFERROR(VLOOKUP(E46,$C$2:$D$49,2,0),"")</f>
        <v>Zuid-Afrika</v>
      </c>
    </row>
    <row r="47" spans="1:6" x14ac:dyDescent="0.25">
      <c r="A47" t="s">
        <v>22</v>
      </c>
      <c r="B47">
        <f t="shared" si="0"/>
        <v>1</v>
      </c>
      <c r="C47">
        <f>IF(B47=0,"",SUM(B$2:B47))</f>
        <v>46</v>
      </c>
      <c r="D47" t="str">
        <f>IF(COUNTIF(Invullijst!C:C,A47)&gt;=1,"",A47)</f>
        <v>Zuid-Korea</v>
      </c>
      <c r="E47">
        <v>46</v>
      </c>
      <c r="F47" t="str">
        <f t="shared" si="1"/>
        <v>Zuid-Korea</v>
      </c>
    </row>
    <row r="48" spans="1:6" x14ac:dyDescent="0.25">
      <c r="A48" t="s">
        <v>36</v>
      </c>
      <c r="B48">
        <f t="shared" si="0"/>
        <v>1</v>
      </c>
      <c r="C48">
        <f>IF(B48=0,"",SUM(B$2:B48))</f>
        <v>47</v>
      </c>
      <c r="D48" t="str">
        <f>IF(COUNTIF(Invullijst!C:C,A48)&gt;=1,"",A48)</f>
        <v>Zweden</v>
      </c>
      <c r="E48">
        <v>47</v>
      </c>
      <c r="F48" t="str">
        <f t="shared" si="1"/>
        <v>Zweden</v>
      </c>
    </row>
    <row r="49" spans="1:6" x14ac:dyDescent="0.25">
      <c r="A49" t="s">
        <v>0</v>
      </c>
      <c r="B49">
        <f t="shared" si="0"/>
        <v>1</v>
      </c>
      <c r="C49">
        <f>IF(B49=0,"",SUM(B$2:B49))</f>
        <v>48</v>
      </c>
      <c r="D49" t="str">
        <f>IF(COUNTIF(Invullijst!C:C,A49)&gt;=1,"",A49)</f>
        <v>Zwitserland</v>
      </c>
      <c r="E49">
        <v>48</v>
      </c>
      <c r="F49" t="str">
        <f>IFERROR(VLOOKUP(E49,$C$2:$D$49,2,0),"")</f>
        <v>Zwitserland</v>
      </c>
    </row>
  </sheetData>
  <autoFilter ref="A1:H1" xr:uid="{00000000-0001-0000-01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19BA9EE-454E-41D0-B5BC-EA61E69A5D2E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5b4b5705-b4ff-46b5-8261-fc5f5f46f4b9}" enabled="1" method="Standard" siteId="{49f943ef-3ce2-42d2-b529-ea37741a617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Invullijst</vt:lpstr>
      <vt:lpstr>Landen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Berndt, Tycho (T.)</dc:creator>
  <cp:lastModifiedBy>Kevin Lagerweij</cp:lastModifiedBy>
  <dcterms:created xsi:type="dcterms:W3CDTF">2021-05-20T06:27:34Z</dcterms:created>
  <dcterms:modified xsi:type="dcterms:W3CDTF">2026-05-20T19:34:22Z</dcterms:modified>
</cp:coreProperties>
</file>